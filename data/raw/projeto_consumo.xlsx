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gsof\Documents\Projeto Teste de Automação\"/>
    </mc:Choice>
  </mc:AlternateContent>
  <xr:revisionPtr revIDLastSave="0" documentId="13_ncr:1_{5E027737-97BC-4239-8331-4BE14F62D59D}" xr6:coauthVersionLast="47" xr6:coauthVersionMax="47" xr10:uidLastSave="{00000000-0000-0000-0000-000000000000}"/>
  <bookViews>
    <workbookView xWindow="-108" yWindow="-108" windowWidth="23256" windowHeight="13176" activeTab="5" xr2:uid="{88CFCF8A-6671-489A-AC23-3B79AF02569C}"/>
  </bookViews>
  <sheets>
    <sheet name="Materiais_Estoque" sheetId="7" r:id="rId1"/>
    <sheet name="Consumo_Mensal" sheetId="1" r:id="rId2"/>
    <sheet name="Suprimentos_LeadTime" sheetId="2" r:id="rId3"/>
    <sheet name="Validação de Dados" sheetId="4" state="hidden" r:id="rId4"/>
    <sheet name="Feriados" sheetId="14" state="hidden" r:id="rId5"/>
    <sheet name="Análise" sheetId="16" r:id="rId6"/>
    <sheet name="Regras de negócio" sheetId="12" state="hidden" r:id="rId7"/>
  </sheets>
  <definedNames>
    <definedName name="_xlcn.WorksheetConnection_ConsumoMensalFevereiro022026Projeto.xlsxTBConsumo" hidden="1">TBConsumo[]</definedName>
    <definedName name="_xlcn.WorksheetConnection_ConsumoMensalFevereiro022026Projeto.xlsxTBEstoque" hidden="1">Materiais_Estoque!$B$4:$M$108</definedName>
    <definedName name="_xlcn.WorksheetConnection_ConsumoMensalFevereiro022026Projeto.xlsxTBSuprimentos" hidden="1">Suprimentos_LeadTime!$B$4:$Q$108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Suprimentos" name="TBSuprimentos" connection="WorksheetConnection_Consumo Mensal Fevereiro 022026 Projeto.xlsx!TBSuprimentos"/>
          <x15:modelTable id="TBEstoque" name="TBEstoque" connection="WorksheetConnection_Consumo Mensal Fevereiro 022026 Projeto.xlsx!TBEstoque"/>
          <x15:modelTable id="TBConsumo" name="TBConsumo" connection="WorksheetConnection_Consumo Mensal Fevereiro 022026 Projeto.xlsx!TBConsumo"/>
        </x15:modelTables>
        <x15:modelRelationships>
          <x15:modelRelationship fromTable="TBConsumo" fromColumn="SKU" toTable="TBEstoque" toColumn="SKU"/>
          <x15:modelRelationship fromTable="TBSuprimentos" fromColumn="SKU" toTable="TBEstoque" toColumn="SKU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92" i="2" l="1"/>
  <c r="O5" i="2"/>
  <c r="L5" i="2"/>
  <c r="K5" i="2"/>
  <c r="H5" i="2"/>
  <c r="G5" i="2"/>
  <c r="F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D5" i="2"/>
  <c r="C5" i="2"/>
  <c r="B5" i="2"/>
  <c r="B14" i="1"/>
  <c r="B24" i="1"/>
  <c r="B25" i="1"/>
  <c r="B28" i="1"/>
  <c r="B29" i="1"/>
  <c r="B30" i="1"/>
  <c r="B31" i="1"/>
  <c r="B32" i="1"/>
  <c r="B33" i="1"/>
  <c r="B34" i="1"/>
  <c r="B38" i="1"/>
  <c r="B39" i="1"/>
  <c r="B40" i="1"/>
  <c r="B41" i="1"/>
  <c r="B42" i="1"/>
  <c r="B43" i="1"/>
  <c r="B44" i="1"/>
  <c r="B45" i="1"/>
  <c r="B47" i="1"/>
  <c r="B48" i="1"/>
  <c r="B50" i="1"/>
  <c r="B51" i="1"/>
  <c r="B52" i="1"/>
  <c r="B53" i="1"/>
  <c r="B54" i="1"/>
  <c r="B64" i="1"/>
  <c r="B65" i="1"/>
  <c r="B71" i="1"/>
  <c r="B73" i="1"/>
  <c r="B74" i="1"/>
  <c r="B77" i="1"/>
  <c r="B79" i="1"/>
  <c r="B80" i="1"/>
  <c r="B81" i="1"/>
  <c r="B82" i="1"/>
  <c r="B83" i="1"/>
  <c r="B84" i="1"/>
  <c r="B85" i="1"/>
  <c r="B87" i="1"/>
  <c r="B89" i="1"/>
  <c r="B92" i="1"/>
  <c r="B93" i="1"/>
  <c r="B94" i="1"/>
  <c r="B96" i="1"/>
  <c r="B97" i="1"/>
  <c r="B104" i="1"/>
  <c r="B105" i="1"/>
  <c r="B107" i="1"/>
  <c r="B108" i="1"/>
  <c r="B109" i="1"/>
  <c r="B110" i="1"/>
  <c r="B111" i="1"/>
  <c r="B112" i="1"/>
  <c r="B113" i="1"/>
  <c r="B114" i="1"/>
  <c r="B117" i="1"/>
  <c r="B118" i="1"/>
  <c r="B124" i="1"/>
  <c r="B125" i="1"/>
  <c r="B128" i="1"/>
  <c r="B129" i="1"/>
  <c r="B131" i="1"/>
  <c r="B132" i="1"/>
  <c r="B133" i="1"/>
  <c r="B134" i="1"/>
  <c r="B138" i="1"/>
  <c r="B143" i="1"/>
  <c r="B144" i="1"/>
  <c r="B145" i="1"/>
  <c r="B147" i="1"/>
  <c r="B148" i="1"/>
  <c r="B149" i="1"/>
  <c r="B150" i="1"/>
  <c r="B151" i="1"/>
  <c r="B152" i="1"/>
  <c r="B153" i="1"/>
  <c r="B154" i="1"/>
  <c r="B160" i="1"/>
  <c r="B164" i="1"/>
  <c r="B165" i="1"/>
  <c r="B168" i="1"/>
  <c r="B169" i="1"/>
  <c r="B170" i="1"/>
  <c r="B171" i="1"/>
  <c r="B173" i="1"/>
  <c r="B174" i="1"/>
  <c r="B178" i="1"/>
  <c r="B180" i="1"/>
  <c r="B181" i="1"/>
  <c r="B182" i="1"/>
  <c r="B183" i="1"/>
  <c r="B184" i="1"/>
  <c r="B185" i="1"/>
  <c r="B190" i="1"/>
  <c r="B191" i="1"/>
  <c r="B192" i="1"/>
  <c r="B193" i="1"/>
  <c r="B194" i="1"/>
  <c r="B196" i="1"/>
  <c r="B197" i="1"/>
  <c r="B198" i="1"/>
  <c r="B203" i="1"/>
  <c r="B204" i="1"/>
  <c r="B205" i="1"/>
  <c r="B209" i="1"/>
  <c r="B211" i="1"/>
  <c r="B212" i="1"/>
  <c r="B213" i="1"/>
  <c r="B224" i="1"/>
  <c r="B225" i="1"/>
  <c r="B227" i="1"/>
  <c r="B229" i="1"/>
  <c r="B230" i="1"/>
  <c r="B232" i="1"/>
  <c r="B233" i="1"/>
  <c r="B234" i="1"/>
  <c r="B244" i="1"/>
  <c r="B245" i="1"/>
  <c r="B247" i="1"/>
  <c r="B248" i="1"/>
  <c r="B249" i="1"/>
  <c r="B250" i="1"/>
  <c r="B251" i="1"/>
  <c r="B252" i="1"/>
  <c r="B253" i="1"/>
  <c r="B254" i="1"/>
  <c r="B264" i="1"/>
  <c r="B265" i="1"/>
  <c r="B267" i="1"/>
  <c r="B268" i="1"/>
  <c r="B269" i="1"/>
  <c r="B270" i="1"/>
  <c r="B271" i="1"/>
  <c r="B272" i="1"/>
  <c r="B273" i="1"/>
  <c r="B274" i="1"/>
  <c r="B284" i="1"/>
  <c r="B285" i="1"/>
  <c r="B290" i="1"/>
  <c r="B291" i="1"/>
  <c r="B292" i="1"/>
  <c r="B293" i="1"/>
  <c r="B294" i="1"/>
  <c r="B303" i="1"/>
  <c r="B304" i="1"/>
  <c r="B305" i="1"/>
  <c r="B311" i="1"/>
  <c r="B312" i="1"/>
  <c r="B313" i="1"/>
  <c r="B314" i="1"/>
  <c r="B316" i="1"/>
  <c r="B324" i="1"/>
  <c r="B325" i="1"/>
  <c r="B330" i="1"/>
  <c r="B334" i="1"/>
  <c r="B344" i="1"/>
  <c r="B345" i="1"/>
  <c r="B348" i="1"/>
  <c r="B353" i="1"/>
  <c r="B354" i="1"/>
  <c r="B359" i="1"/>
  <c r="B360" i="1"/>
  <c r="B361" i="1"/>
  <c r="B362" i="1"/>
  <c r="B363" i="1"/>
  <c r="B364" i="1"/>
  <c r="B365" i="1"/>
  <c r="B368" i="1"/>
  <c r="B369" i="1"/>
  <c r="B370" i="1"/>
  <c r="B371" i="1"/>
  <c r="B372" i="1"/>
  <c r="B373" i="1"/>
  <c r="B374" i="1"/>
  <c r="B384" i="1"/>
  <c r="B385" i="1"/>
  <c r="B388" i="1"/>
  <c r="B389" i="1"/>
  <c r="B390" i="1"/>
  <c r="B391" i="1"/>
  <c r="B392" i="1"/>
  <c r="B393" i="1"/>
  <c r="B394" i="1"/>
  <c r="B400" i="1"/>
  <c r="B401" i="1"/>
  <c r="B402" i="1"/>
  <c r="B403" i="1"/>
  <c r="B404" i="1"/>
  <c r="B405" i="1"/>
  <c r="B408" i="1"/>
  <c r="B409" i="1"/>
  <c r="B410" i="1"/>
  <c r="B411" i="1"/>
  <c r="B412" i="1"/>
  <c r="B413" i="1"/>
  <c r="B414" i="1"/>
  <c r="B423" i="1"/>
  <c r="B425" i="1"/>
  <c r="B427" i="1"/>
  <c r="B428" i="1"/>
  <c r="B430" i="1"/>
  <c r="B431" i="1"/>
  <c r="B432" i="1"/>
  <c r="B433" i="1"/>
  <c r="B444" i="1"/>
  <c r="B445" i="1"/>
  <c r="B447" i="1"/>
  <c r="B448" i="1"/>
  <c r="B449" i="1"/>
  <c r="B450" i="1"/>
  <c r="B451" i="1"/>
  <c r="B464" i="1"/>
  <c r="B465" i="1"/>
  <c r="B467" i="1"/>
  <c r="B468" i="1"/>
  <c r="B469" i="1"/>
  <c r="B470" i="1"/>
  <c r="B471" i="1"/>
  <c r="B472" i="1"/>
  <c r="B473" i="1"/>
  <c r="B474" i="1"/>
  <c r="B6" i="1"/>
  <c r="B16" i="1"/>
  <c r="B12" i="1"/>
  <c r="B13" i="1"/>
  <c r="B19" i="1"/>
  <c r="B20" i="1"/>
  <c r="B21" i="1"/>
  <c r="B22" i="1"/>
  <c r="B23" i="1"/>
  <c r="B27" i="1"/>
  <c r="B49" i="1"/>
  <c r="B59" i="1"/>
  <c r="B60" i="1"/>
  <c r="B63" i="1"/>
  <c r="B72" i="1"/>
  <c r="B90" i="1"/>
  <c r="B91" i="1"/>
  <c r="B99" i="1"/>
  <c r="B100" i="1"/>
  <c r="B101" i="1"/>
  <c r="B102" i="1"/>
  <c r="B103" i="1"/>
  <c r="B120" i="1"/>
  <c r="B121" i="1"/>
  <c r="B122" i="1"/>
  <c r="B123" i="1"/>
  <c r="B139" i="1"/>
  <c r="B141" i="1"/>
  <c r="B142" i="1"/>
  <c r="B157" i="1"/>
  <c r="B158" i="1"/>
  <c r="B159" i="1"/>
  <c r="B161" i="1"/>
  <c r="B162" i="1"/>
  <c r="B163" i="1"/>
  <c r="B172" i="1"/>
  <c r="B199" i="1"/>
  <c r="B200" i="1"/>
  <c r="B201" i="1"/>
  <c r="B202" i="1"/>
  <c r="B208" i="1"/>
  <c r="B217" i="1"/>
  <c r="B219" i="1"/>
  <c r="B222" i="1"/>
  <c r="B223" i="1"/>
  <c r="B236" i="1"/>
  <c r="B239" i="1"/>
  <c r="B240" i="1"/>
  <c r="B241" i="1"/>
  <c r="B242" i="1"/>
  <c r="B243" i="1"/>
  <c r="B259" i="1"/>
  <c r="B260" i="1"/>
  <c r="B261" i="1"/>
  <c r="B280" i="1"/>
  <c r="B281" i="1"/>
  <c r="B282" i="1"/>
  <c r="B283" i="1"/>
  <c r="B298" i="1"/>
  <c r="B299" i="1"/>
  <c r="B300" i="1"/>
  <c r="B301" i="1"/>
  <c r="B302" i="1"/>
  <c r="B320" i="1"/>
  <c r="B321" i="1"/>
  <c r="B322" i="1"/>
  <c r="B323" i="1"/>
  <c r="B331" i="1"/>
  <c r="B332" i="1"/>
  <c r="B333" i="1"/>
  <c r="B342" i="1"/>
  <c r="B343" i="1"/>
  <c r="B382" i="1"/>
  <c r="B383" i="1"/>
  <c r="B420" i="1"/>
  <c r="B421" i="1"/>
  <c r="B422" i="1"/>
  <c r="B429" i="1"/>
  <c r="B434" i="1"/>
  <c r="B443" i="1"/>
  <c r="B463" i="1"/>
  <c r="B478" i="1"/>
  <c r="B479" i="1"/>
  <c r="B480" i="1"/>
  <c r="B6" i="2"/>
  <c r="D6" i="2" s="1"/>
  <c r="B7" i="2"/>
  <c r="D7" i="2" s="1"/>
  <c r="B8" i="2"/>
  <c r="D8" i="2" s="1"/>
  <c r="B9" i="2"/>
  <c r="D9" i="2" s="1"/>
  <c r="B10" i="2"/>
  <c r="D10" i="2" s="1"/>
  <c r="B11" i="2"/>
  <c r="D11" i="2" s="1"/>
  <c r="B12" i="2"/>
  <c r="D12" i="2" s="1"/>
  <c r="B13" i="2"/>
  <c r="C13" i="2" s="1"/>
  <c r="B14" i="2"/>
  <c r="D14" i="2" s="1"/>
  <c r="B15" i="2"/>
  <c r="C15" i="2" s="1"/>
  <c r="B16" i="2"/>
  <c r="D16" i="2" s="1"/>
  <c r="B17" i="2"/>
  <c r="D17" i="2" s="1"/>
  <c r="B18" i="2"/>
  <c r="D18" i="2" s="1"/>
  <c r="B19" i="2"/>
  <c r="D19" i="2" s="1"/>
  <c r="B20" i="2"/>
  <c r="C20" i="2" s="1"/>
  <c r="B21" i="2"/>
  <c r="D21" i="2" s="1"/>
  <c r="B22" i="2"/>
  <c r="C22" i="2" s="1"/>
  <c r="B23" i="2"/>
  <c r="D23" i="2" s="1"/>
  <c r="B24" i="2"/>
  <c r="C24" i="2" s="1"/>
  <c r="B25" i="2"/>
  <c r="C25" i="2" s="1"/>
  <c r="B26" i="2"/>
  <c r="D26" i="2" s="1"/>
  <c r="B27" i="2"/>
  <c r="D27" i="2" s="1"/>
  <c r="B28" i="2"/>
  <c r="D28" i="2" s="1"/>
  <c r="B29" i="2"/>
  <c r="D29" i="2" s="1"/>
  <c r="B30" i="2"/>
  <c r="C30" i="2" s="1"/>
  <c r="B31" i="2"/>
  <c r="D31" i="2" s="1"/>
  <c r="B32" i="2"/>
  <c r="D32" i="2" s="1"/>
  <c r="B33" i="2"/>
  <c r="C33" i="2" s="1"/>
  <c r="B34" i="2"/>
  <c r="D34" i="2" s="1"/>
  <c r="B35" i="2"/>
  <c r="C35" i="2" s="1"/>
  <c r="B36" i="2"/>
  <c r="D36" i="2" s="1"/>
  <c r="B37" i="2"/>
  <c r="C37" i="2" s="1"/>
  <c r="B38" i="2"/>
  <c r="D38" i="2" s="1"/>
  <c r="B39" i="2"/>
  <c r="D39" i="2" s="1"/>
  <c r="Q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D46" i="2" s="1"/>
  <c r="B47" i="2"/>
  <c r="D47" i="2" s="1"/>
  <c r="B48" i="2"/>
  <c r="D48" i="2" s="1"/>
  <c r="B49" i="2"/>
  <c r="D49" i="2" s="1"/>
  <c r="B50" i="2"/>
  <c r="C50" i="2" s="1"/>
  <c r="B51" i="2"/>
  <c r="D51" i="2" s="1"/>
  <c r="B52" i="2"/>
  <c r="D52" i="2" s="1"/>
  <c r="B53" i="2"/>
  <c r="D53" i="2" s="1"/>
  <c r="Q53" i="2" s="1"/>
  <c r="B54" i="2"/>
  <c r="D54" i="2" s="1"/>
  <c r="B55" i="2"/>
  <c r="C55" i="2" s="1"/>
  <c r="B56" i="2"/>
  <c r="D56" i="2" s="1"/>
  <c r="B57" i="2"/>
  <c r="D57" i="2" s="1"/>
  <c r="Q57" i="2" s="1"/>
  <c r="B58" i="2"/>
  <c r="D58" i="2" s="1"/>
  <c r="Q58" i="2" s="1"/>
  <c r="B59" i="2"/>
  <c r="D59" i="2" s="1"/>
  <c r="Q59" i="2" s="1"/>
  <c r="B60" i="2"/>
  <c r="C60" i="2" s="1"/>
  <c r="B61" i="2"/>
  <c r="D61" i="2" s="1"/>
  <c r="B62" i="2"/>
  <c r="C62" i="2" s="1"/>
  <c r="B63" i="2"/>
  <c r="C63" i="2" s="1"/>
  <c r="B64" i="2"/>
  <c r="C64" i="2" s="1"/>
  <c r="B65" i="2"/>
  <c r="C65" i="2" s="1"/>
  <c r="B66" i="2"/>
  <c r="D66" i="2" s="1"/>
  <c r="B67" i="2"/>
  <c r="D67" i="2" s="1"/>
  <c r="B68" i="2"/>
  <c r="D68" i="2" s="1"/>
  <c r="B69" i="2"/>
  <c r="D69" i="2" s="1"/>
  <c r="B70" i="2"/>
  <c r="C70" i="2" s="1"/>
  <c r="B71" i="2"/>
  <c r="D71" i="2" s="1"/>
  <c r="B72" i="2"/>
  <c r="D72" i="2" s="1"/>
  <c r="B73" i="2"/>
  <c r="D73" i="2" s="1"/>
  <c r="Q73" i="2" s="1"/>
  <c r="B74" i="2"/>
  <c r="D74" i="2" s="1"/>
  <c r="B75" i="2"/>
  <c r="C75" i="2" s="1"/>
  <c r="B76" i="2"/>
  <c r="D76" i="2" s="1"/>
  <c r="B77" i="2"/>
  <c r="D77" i="2" s="1"/>
  <c r="Q77" i="2" s="1"/>
  <c r="B78" i="2"/>
  <c r="D78" i="2" s="1"/>
  <c r="Q78" i="2" s="1"/>
  <c r="B79" i="2"/>
  <c r="D79" i="2" s="1"/>
  <c r="Q79" i="2" s="1"/>
  <c r="B80" i="2"/>
  <c r="D80" i="2" s="1"/>
  <c r="Q80" i="2" s="1"/>
  <c r="B81" i="2"/>
  <c r="D81" i="2" s="1"/>
  <c r="B82" i="2"/>
  <c r="C82" i="2" s="1"/>
  <c r="B83" i="2"/>
  <c r="C83" i="2" s="1"/>
  <c r="B84" i="2"/>
  <c r="C84" i="2" s="1"/>
  <c r="B85" i="2"/>
  <c r="C85" i="2" s="1"/>
  <c r="B86" i="2"/>
  <c r="D86" i="2" s="1"/>
  <c r="B87" i="2"/>
  <c r="D87" i="2" s="1"/>
  <c r="B88" i="2"/>
  <c r="D88" i="2" s="1"/>
  <c r="B89" i="2"/>
  <c r="D89" i="2" s="1"/>
  <c r="B90" i="2"/>
  <c r="C90" i="2" s="1"/>
  <c r="B91" i="2"/>
  <c r="D91" i="2" s="1"/>
  <c r="B92" i="2"/>
  <c r="D92" i="2" s="1"/>
  <c r="B93" i="2"/>
  <c r="D93" i="2" s="1"/>
  <c r="Q93" i="2" s="1"/>
  <c r="B94" i="2"/>
  <c r="D94" i="2" s="1"/>
  <c r="B95" i="2"/>
  <c r="C95" i="2" s="1"/>
  <c r="B96" i="2"/>
  <c r="D96" i="2" s="1"/>
  <c r="B97" i="2"/>
  <c r="D97" i="2" s="1"/>
  <c r="Q97" i="2" s="1"/>
  <c r="B98" i="2"/>
  <c r="D98" i="2" s="1"/>
  <c r="Q98" i="2" s="1"/>
  <c r="B99" i="2"/>
  <c r="D99" i="2" s="1"/>
  <c r="Q99" i="2" s="1"/>
  <c r="B100" i="2"/>
  <c r="D100" i="2" s="1"/>
  <c r="Q100" i="2" s="1"/>
  <c r="B101" i="2"/>
  <c r="D101" i="2" s="1"/>
  <c r="B102" i="2"/>
  <c r="C102" i="2" s="1"/>
  <c r="B103" i="2"/>
  <c r="C103" i="2" s="1"/>
  <c r="B104" i="2"/>
  <c r="C104" i="2" s="1"/>
  <c r="B105" i="2"/>
  <c r="D105" i="2" s="1"/>
  <c r="B106" i="2"/>
  <c r="D106" i="2" s="1"/>
  <c r="B107" i="2"/>
  <c r="D107" i="2" s="1"/>
  <c r="B108" i="2"/>
  <c r="D108" i="2" s="1"/>
  <c r="M246" i="1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5" i="7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C162" i="1"/>
  <c r="C214" i="1"/>
  <c r="C209" i="1"/>
  <c r="C208" i="1"/>
  <c r="C204" i="1"/>
  <c r="C188" i="1"/>
  <c r="C187" i="1"/>
  <c r="C186" i="1"/>
  <c r="C185" i="1"/>
  <c r="C184" i="1"/>
  <c r="C183" i="1"/>
  <c r="C178" i="1"/>
  <c r="C177" i="1"/>
  <c r="C176" i="1"/>
  <c r="C175" i="1"/>
  <c r="C165" i="1"/>
  <c r="C163" i="1"/>
  <c r="C157" i="1"/>
  <c r="C148" i="1"/>
  <c r="C147" i="1"/>
  <c r="C138" i="1"/>
  <c r="C131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B235" i="1"/>
  <c r="B7" i="1"/>
  <c r="B237" i="1"/>
  <c r="B238" i="1"/>
  <c r="B8" i="1"/>
  <c r="B9" i="1"/>
  <c r="B10" i="1"/>
  <c r="B11" i="1"/>
  <c r="B246" i="1"/>
  <c r="B218" i="1"/>
  <c r="B146" i="1"/>
  <c r="B98" i="1"/>
  <c r="B15" i="1"/>
  <c r="B255" i="1"/>
  <c r="B256" i="1"/>
  <c r="B257" i="1"/>
  <c r="B258" i="1"/>
  <c r="B17" i="1"/>
  <c r="B18" i="1"/>
  <c r="B220" i="1"/>
  <c r="B262" i="1"/>
  <c r="B263" i="1"/>
  <c r="B266" i="1"/>
  <c r="B275" i="1"/>
  <c r="B276" i="1"/>
  <c r="B277" i="1"/>
  <c r="B278" i="1"/>
  <c r="B279" i="1"/>
  <c r="B26" i="1"/>
  <c r="B221" i="1"/>
  <c r="B286" i="1"/>
  <c r="B287" i="1"/>
  <c r="B288" i="1"/>
  <c r="B289" i="1"/>
  <c r="B155" i="1"/>
  <c r="B156" i="1"/>
  <c r="B106" i="1"/>
  <c r="B295" i="1"/>
  <c r="B296" i="1"/>
  <c r="B297" i="1"/>
  <c r="B35" i="1"/>
  <c r="B36" i="1"/>
  <c r="B37" i="1"/>
  <c r="B166" i="1"/>
  <c r="B167" i="1"/>
  <c r="B306" i="1"/>
  <c r="B307" i="1"/>
  <c r="B308" i="1"/>
  <c r="B309" i="1"/>
  <c r="B310" i="1"/>
  <c r="B315" i="1"/>
  <c r="B317" i="1"/>
  <c r="B318" i="1"/>
  <c r="B319" i="1"/>
  <c r="B226" i="1"/>
  <c r="B175" i="1"/>
  <c r="B176" i="1"/>
  <c r="B177" i="1"/>
  <c r="B326" i="1"/>
  <c r="B327" i="1"/>
  <c r="B328" i="1"/>
  <c r="B329" i="1"/>
  <c r="B46" i="1"/>
  <c r="B335" i="1"/>
  <c r="B336" i="1"/>
  <c r="B337" i="1"/>
  <c r="B338" i="1"/>
  <c r="B339" i="1"/>
  <c r="B340" i="1"/>
  <c r="B341" i="1"/>
  <c r="B346" i="1"/>
  <c r="B347" i="1"/>
  <c r="B228" i="1"/>
  <c r="B115" i="1"/>
  <c r="B349" i="1"/>
  <c r="B350" i="1"/>
  <c r="B351" i="1"/>
  <c r="B352" i="1"/>
  <c r="B116" i="1"/>
  <c r="B355" i="1"/>
  <c r="B356" i="1"/>
  <c r="B357" i="1"/>
  <c r="B358" i="1"/>
  <c r="B179" i="1"/>
  <c r="B186" i="1"/>
  <c r="B119" i="1"/>
  <c r="B187" i="1"/>
  <c r="B188" i="1"/>
  <c r="B126" i="1"/>
  <c r="B127" i="1"/>
  <c r="B55" i="1"/>
  <c r="B366" i="1"/>
  <c r="B367" i="1"/>
  <c r="B56" i="1"/>
  <c r="B57" i="1"/>
  <c r="B58" i="1"/>
  <c r="B375" i="1"/>
  <c r="B376" i="1"/>
  <c r="B377" i="1"/>
  <c r="B378" i="1"/>
  <c r="B379" i="1"/>
  <c r="B380" i="1"/>
  <c r="B381" i="1"/>
  <c r="B189" i="1"/>
  <c r="B61" i="1"/>
  <c r="B62" i="1"/>
  <c r="B386" i="1"/>
  <c r="B387" i="1"/>
  <c r="B195" i="1"/>
  <c r="B66" i="1"/>
  <c r="B395" i="1"/>
  <c r="B130" i="1"/>
  <c r="B396" i="1"/>
  <c r="B397" i="1"/>
  <c r="B398" i="1"/>
  <c r="B399" i="1"/>
  <c r="B67" i="1"/>
  <c r="B68" i="1"/>
  <c r="B69" i="1"/>
  <c r="B70" i="1"/>
  <c r="B406" i="1"/>
  <c r="B407" i="1"/>
  <c r="B415" i="1"/>
  <c r="B416" i="1"/>
  <c r="B417" i="1"/>
  <c r="B418" i="1"/>
  <c r="B419" i="1"/>
  <c r="B206" i="1"/>
  <c r="B207" i="1"/>
  <c r="B75" i="1"/>
  <c r="B76" i="1"/>
  <c r="B424" i="1"/>
  <c r="B426" i="1"/>
  <c r="B435" i="1"/>
  <c r="B436" i="1"/>
  <c r="B437" i="1"/>
  <c r="B438" i="1"/>
  <c r="B210" i="1"/>
  <c r="B439" i="1"/>
  <c r="B440" i="1"/>
  <c r="B441" i="1"/>
  <c r="B442" i="1"/>
  <c r="B78" i="1"/>
  <c r="B446" i="1"/>
  <c r="B135" i="1"/>
  <c r="B136" i="1"/>
  <c r="B137" i="1"/>
  <c r="B231" i="1"/>
  <c r="B452" i="1"/>
  <c r="B453" i="1"/>
  <c r="B454" i="1"/>
  <c r="B455" i="1"/>
  <c r="B456" i="1"/>
  <c r="B457" i="1"/>
  <c r="B458" i="1"/>
  <c r="B459" i="1"/>
  <c r="B460" i="1"/>
  <c r="B461" i="1"/>
  <c r="B462" i="1"/>
  <c r="B466" i="1"/>
  <c r="B86" i="1"/>
  <c r="B88" i="1"/>
  <c r="B475" i="1"/>
  <c r="B140" i="1"/>
  <c r="B214" i="1"/>
  <c r="B215" i="1"/>
  <c r="B216" i="1"/>
  <c r="B95" i="1"/>
  <c r="B476" i="1"/>
  <c r="B477" i="1"/>
  <c r="Q38" i="2" l="1"/>
  <c r="Q19" i="2"/>
  <c r="Q18" i="2"/>
  <c r="Q17" i="2"/>
  <c r="Q23" i="2"/>
  <c r="Q101" i="2"/>
  <c r="Q81" i="2"/>
  <c r="Q61" i="2"/>
  <c r="Q21" i="2"/>
  <c r="C98" i="2"/>
  <c r="D95" i="2"/>
  <c r="G95" i="2" s="1"/>
  <c r="D104" i="2"/>
  <c r="Q104" i="2" s="1"/>
  <c r="D103" i="2"/>
  <c r="Q103" i="2" s="1"/>
  <c r="D84" i="2"/>
  <c r="Q84" i="2" s="1"/>
  <c r="D83" i="2"/>
  <c r="Q83" i="2" s="1"/>
  <c r="C101" i="2"/>
  <c r="C100" i="2"/>
  <c r="C92" i="2"/>
  <c r="D85" i="2"/>
  <c r="Q85" i="2" s="1"/>
  <c r="D75" i="2"/>
  <c r="Q75" i="2" s="1"/>
  <c r="D65" i="2"/>
  <c r="G65" i="2" s="1"/>
  <c r="D64" i="2"/>
  <c r="Q64" i="2" s="1"/>
  <c r="D63" i="2"/>
  <c r="Q63" i="2" s="1"/>
  <c r="D60" i="2"/>
  <c r="Q60" i="2" s="1"/>
  <c r="C78" i="2"/>
  <c r="D55" i="2"/>
  <c r="D50" i="2"/>
  <c r="D45" i="2"/>
  <c r="C51" i="2"/>
  <c r="D44" i="2"/>
  <c r="Q44" i="2" s="1"/>
  <c r="D43" i="2"/>
  <c r="Q43" i="2" s="1"/>
  <c r="D30" i="2"/>
  <c r="Q30" i="2" s="1"/>
  <c r="D25" i="2"/>
  <c r="Q25" i="2" s="1"/>
  <c r="D24" i="2"/>
  <c r="Q24" i="2" s="1"/>
  <c r="C23" i="2"/>
  <c r="G105" i="2"/>
  <c r="Q105" i="2"/>
  <c r="Q10" i="2"/>
  <c r="G10" i="2"/>
  <c r="D90" i="2"/>
  <c r="C32" i="2"/>
  <c r="D41" i="2"/>
  <c r="Q41" i="2" s="1"/>
  <c r="D40" i="2"/>
  <c r="Q40" i="2" s="1"/>
  <c r="C91" i="2"/>
  <c r="C38" i="2"/>
  <c r="D42" i="2"/>
  <c r="Q42" i="2" s="1"/>
  <c r="C81" i="2"/>
  <c r="C31" i="2"/>
  <c r="C80" i="2"/>
  <c r="D35" i="2"/>
  <c r="D82" i="2"/>
  <c r="Q82" i="2" s="1"/>
  <c r="C72" i="2"/>
  <c r="C18" i="2"/>
  <c r="D70" i="2"/>
  <c r="D22" i="2"/>
  <c r="Q22" i="2" s="1"/>
  <c r="C21" i="2"/>
  <c r="C12" i="2"/>
  <c r="C61" i="2"/>
  <c r="C11" i="2"/>
  <c r="D20" i="2"/>
  <c r="Q20" i="2" s="1"/>
  <c r="D102" i="2"/>
  <c r="Q102" i="2" s="1"/>
  <c r="C71" i="2"/>
  <c r="C10" i="2"/>
  <c r="D15" i="2"/>
  <c r="C105" i="2"/>
  <c r="C58" i="2"/>
  <c r="D62" i="2"/>
  <c r="Q62" i="2" s="1"/>
  <c r="C52" i="2"/>
  <c r="Q56" i="2"/>
  <c r="G56" i="2"/>
  <c r="Q94" i="2"/>
  <c r="G94" i="2"/>
  <c r="Q74" i="2"/>
  <c r="G74" i="2"/>
  <c r="Q54" i="2"/>
  <c r="G54" i="2"/>
  <c r="Q34" i="2"/>
  <c r="G34" i="2"/>
  <c r="Q14" i="2"/>
  <c r="G14" i="2"/>
  <c r="G92" i="2"/>
  <c r="G72" i="2"/>
  <c r="Q72" i="2"/>
  <c r="G52" i="2"/>
  <c r="Q52" i="2"/>
  <c r="G32" i="2"/>
  <c r="Q32" i="2"/>
  <c r="G12" i="2"/>
  <c r="Q12" i="2"/>
  <c r="Q96" i="2"/>
  <c r="G96" i="2"/>
  <c r="G71" i="2"/>
  <c r="Q71" i="2"/>
  <c r="G51" i="2"/>
  <c r="Q51" i="2"/>
  <c r="G31" i="2"/>
  <c r="Q31" i="2"/>
  <c r="G11" i="2"/>
  <c r="Q11" i="2"/>
  <c r="G89" i="2"/>
  <c r="Q89" i="2"/>
  <c r="G91" i="2"/>
  <c r="Q91" i="2"/>
  <c r="Q69" i="2"/>
  <c r="G69" i="2"/>
  <c r="G49" i="2"/>
  <c r="Q49" i="2"/>
  <c r="Q29" i="2"/>
  <c r="G29" i="2"/>
  <c r="G9" i="2"/>
  <c r="Q9" i="2"/>
  <c r="G108" i="2"/>
  <c r="Q108" i="2"/>
  <c r="G88" i="2"/>
  <c r="Q88" i="2"/>
  <c r="Q68" i="2"/>
  <c r="G68" i="2"/>
  <c r="G48" i="2"/>
  <c r="Q48" i="2"/>
  <c r="Q28" i="2"/>
  <c r="G28" i="2"/>
  <c r="G8" i="2"/>
  <c r="Q8" i="2"/>
  <c r="Q76" i="2"/>
  <c r="G76" i="2"/>
  <c r="Q87" i="2"/>
  <c r="G87" i="2"/>
  <c r="Q67" i="2"/>
  <c r="G67" i="2"/>
  <c r="G47" i="2"/>
  <c r="Q47" i="2"/>
  <c r="Q27" i="2"/>
  <c r="G27" i="2"/>
  <c r="G7" i="2"/>
  <c r="Q7" i="2"/>
  <c r="Q36" i="2"/>
  <c r="G36" i="2"/>
  <c r="Q86" i="2"/>
  <c r="G86" i="2"/>
  <c r="G66" i="2"/>
  <c r="Q66" i="2"/>
  <c r="G46" i="2"/>
  <c r="Q46" i="2"/>
  <c r="Q26" i="2"/>
  <c r="G26" i="2"/>
  <c r="G6" i="2"/>
  <c r="Q6" i="2"/>
  <c r="G107" i="2"/>
  <c r="Q107" i="2"/>
  <c r="G106" i="2"/>
  <c r="Q106" i="2"/>
  <c r="Q16" i="2"/>
  <c r="G16" i="2"/>
  <c r="C99" i="2"/>
  <c r="C79" i="2"/>
  <c r="C59" i="2"/>
  <c r="C39" i="2"/>
  <c r="C19" i="2"/>
  <c r="C96" i="2"/>
  <c r="C76" i="2"/>
  <c r="C56" i="2"/>
  <c r="C36" i="2"/>
  <c r="C16" i="2"/>
  <c r="C94" i="2"/>
  <c r="C74" i="2"/>
  <c r="C54" i="2"/>
  <c r="C34" i="2"/>
  <c r="C14" i="2"/>
  <c r="C97" i="2"/>
  <c r="C77" i="2"/>
  <c r="C17" i="2"/>
  <c r="C93" i="2"/>
  <c r="C73" i="2"/>
  <c r="C53" i="2"/>
  <c r="C89" i="2"/>
  <c r="C69" i="2"/>
  <c r="C49" i="2"/>
  <c r="C29" i="2"/>
  <c r="C9" i="2"/>
  <c r="D33" i="2"/>
  <c r="Q33" i="2" s="1"/>
  <c r="D13" i="2"/>
  <c r="Q13" i="2" s="1"/>
  <c r="C57" i="2"/>
  <c r="C108" i="2"/>
  <c r="C88" i="2"/>
  <c r="C68" i="2"/>
  <c r="C48" i="2"/>
  <c r="C28" i="2"/>
  <c r="C8" i="2"/>
  <c r="C107" i="2"/>
  <c r="C87" i="2"/>
  <c r="C67" i="2"/>
  <c r="C47" i="2"/>
  <c r="C27" i="2"/>
  <c r="C7" i="2"/>
  <c r="D37" i="2"/>
  <c r="Q37" i="2" s="1"/>
  <c r="C106" i="2"/>
  <c r="C86" i="2"/>
  <c r="C66" i="2"/>
  <c r="C46" i="2"/>
  <c r="C26" i="2"/>
  <c r="C6" i="2"/>
  <c r="G23" i="2"/>
  <c r="G100" i="2"/>
  <c r="G101" i="2"/>
  <c r="G81" i="2"/>
  <c r="G61" i="2"/>
  <c r="G21" i="2"/>
  <c r="G80" i="2"/>
  <c r="G99" i="2"/>
  <c r="G79" i="2"/>
  <c r="G59" i="2"/>
  <c r="G39" i="2"/>
  <c r="G19" i="2"/>
  <c r="G98" i="2"/>
  <c r="G78" i="2"/>
  <c r="G58" i="2"/>
  <c r="G38" i="2"/>
  <c r="G18" i="2"/>
  <c r="G97" i="2"/>
  <c r="G77" i="2"/>
  <c r="G57" i="2"/>
  <c r="G17" i="2"/>
  <c r="G93" i="2"/>
  <c r="G73" i="2"/>
  <c r="G53" i="2"/>
  <c r="F7" i="2"/>
  <c r="F11" i="2"/>
  <c r="F23" i="2"/>
  <c r="F22" i="2"/>
  <c r="F10" i="2"/>
  <c r="F6" i="2"/>
  <c r="F64" i="2"/>
  <c r="F102" i="2"/>
  <c r="F82" i="2"/>
  <c r="F62" i="2"/>
  <c r="F42" i="2"/>
  <c r="F21" i="2"/>
  <c r="F101" i="2"/>
  <c r="F81" i="2"/>
  <c r="F61" i="2"/>
  <c r="F41" i="2"/>
  <c r="F19" i="2"/>
  <c r="F20" i="2"/>
  <c r="F100" i="2"/>
  <c r="F80" i="2"/>
  <c r="F60" i="2"/>
  <c r="F39" i="2"/>
  <c r="F18" i="2"/>
  <c r="F40" i="2"/>
  <c r="F99" i="2"/>
  <c r="F79" i="2"/>
  <c r="F59" i="2"/>
  <c r="F38" i="2"/>
  <c r="F17" i="2"/>
  <c r="F98" i="2"/>
  <c r="F78" i="2"/>
  <c r="F58" i="2"/>
  <c r="F37" i="2"/>
  <c r="F16" i="2"/>
  <c r="F97" i="2"/>
  <c r="F77" i="2"/>
  <c r="F57" i="2"/>
  <c r="F36" i="2"/>
  <c r="F15" i="2"/>
  <c r="F96" i="2"/>
  <c r="F76" i="2"/>
  <c r="F56" i="2"/>
  <c r="F35" i="2"/>
  <c r="F14" i="2"/>
  <c r="F95" i="2"/>
  <c r="F75" i="2"/>
  <c r="F55" i="2"/>
  <c r="F34" i="2"/>
  <c r="F13" i="2"/>
  <c r="F94" i="2"/>
  <c r="F74" i="2"/>
  <c r="F54" i="2"/>
  <c r="F33" i="2"/>
  <c r="F12" i="2"/>
  <c r="F93" i="2"/>
  <c r="F73" i="2"/>
  <c r="F53" i="2"/>
  <c r="F32" i="2"/>
  <c r="F92" i="2"/>
  <c r="F72" i="2"/>
  <c r="F52" i="2"/>
  <c r="F31" i="2"/>
  <c r="F91" i="2"/>
  <c r="F71" i="2"/>
  <c r="F51" i="2"/>
  <c r="F30" i="2"/>
  <c r="F9" i="2"/>
  <c r="F90" i="2"/>
  <c r="F70" i="2"/>
  <c r="F50" i="2"/>
  <c r="F29" i="2"/>
  <c r="F8" i="2"/>
  <c r="F89" i="2"/>
  <c r="F69" i="2"/>
  <c r="F49" i="2"/>
  <c r="F28" i="2"/>
  <c r="F108" i="2"/>
  <c r="F88" i="2"/>
  <c r="F68" i="2"/>
  <c r="F48" i="2"/>
  <c r="F27" i="2"/>
  <c r="F107" i="2"/>
  <c r="F87" i="2"/>
  <c r="F67" i="2"/>
  <c r="F47" i="2"/>
  <c r="F26" i="2"/>
  <c r="F106" i="2"/>
  <c r="F86" i="2"/>
  <c r="F66" i="2"/>
  <c r="F46" i="2"/>
  <c r="F25" i="2"/>
  <c r="F105" i="2"/>
  <c r="F85" i="2"/>
  <c r="F65" i="2"/>
  <c r="F45" i="2"/>
  <c r="F24" i="2"/>
  <c r="F104" i="2"/>
  <c r="F84" i="2"/>
  <c r="F44" i="2"/>
  <c r="F103" i="2"/>
  <c r="F83" i="2"/>
  <c r="F63" i="2"/>
  <c r="F43" i="2"/>
  <c r="G64" i="2" l="1"/>
  <c r="H64" i="2" s="1"/>
  <c r="L64" i="2" s="1"/>
  <c r="Q95" i="2"/>
  <c r="G44" i="2"/>
  <c r="H44" i="2" s="1"/>
  <c r="L44" i="2" s="1"/>
  <c r="G84" i="2"/>
  <c r="H84" i="2" s="1"/>
  <c r="L84" i="2" s="1"/>
  <c r="G104" i="2"/>
  <c r="H104" i="2" s="1"/>
  <c r="L104" i="2" s="1"/>
  <c r="Q65" i="2"/>
  <c r="G20" i="2"/>
  <c r="H20" i="2" s="1"/>
  <c r="L20" i="2" s="1"/>
  <c r="G22" i="2"/>
  <c r="H22" i="2" s="1"/>
  <c r="L22" i="2" s="1"/>
  <c r="G103" i="2"/>
  <c r="H103" i="2" s="1"/>
  <c r="G85" i="2"/>
  <c r="H85" i="2" s="1"/>
  <c r="L85" i="2" s="1"/>
  <c r="G43" i="2"/>
  <c r="H43" i="2" s="1"/>
  <c r="L43" i="2" s="1"/>
  <c r="G63" i="2"/>
  <c r="H63" i="2" s="1"/>
  <c r="L63" i="2" s="1"/>
  <c r="G83" i="2"/>
  <c r="H83" i="2" s="1"/>
  <c r="L83" i="2" s="1"/>
  <c r="G40" i="2"/>
  <c r="H40" i="2" s="1"/>
  <c r="L40" i="2" s="1"/>
  <c r="G75" i="2"/>
  <c r="H75" i="2" s="1"/>
  <c r="L75" i="2" s="1"/>
  <c r="G60" i="2"/>
  <c r="H60" i="2" s="1"/>
  <c r="L60" i="2" s="1"/>
  <c r="G25" i="2"/>
  <c r="H25" i="2" s="1"/>
  <c r="L25" i="2" s="1"/>
  <c r="G41" i="2"/>
  <c r="H41" i="2" s="1"/>
  <c r="L41" i="2" s="1"/>
  <c r="Q45" i="2"/>
  <c r="G45" i="2"/>
  <c r="H45" i="2" s="1"/>
  <c r="L45" i="2" s="1"/>
  <c r="G37" i="2"/>
  <c r="H37" i="2" s="1"/>
  <c r="L37" i="2" s="1"/>
  <c r="Q55" i="2"/>
  <c r="G55" i="2"/>
  <c r="H55" i="2" s="1"/>
  <c r="L55" i="2" s="1"/>
  <c r="G30" i="2"/>
  <c r="H30" i="2" s="1"/>
  <c r="L30" i="2" s="1"/>
  <c r="Q50" i="2"/>
  <c r="G50" i="2"/>
  <c r="H50" i="2" s="1"/>
  <c r="L50" i="2" s="1"/>
  <c r="G24" i="2"/>
  <c r="H24" i="2" s="1"/>
  <c r="L24" i="2" s="1"/>
  <c r="G42" i="2"/>
  <c r="H42" i="2" s="1"/>
  <c r="L42" i="2" s="1"/>
  <c r="G15" i="2"/>
  <c r="H15" i="2" s="1"/>
  <c r="L15" i="2" s="1"/>
  <c r="Q15" i="2"/>
  <c r="G62" i="2"/>
  <c r="H62" i="2" s="1"/>
  <c r="L62" i="2" s="1"/>
  <c r="G102" i="2"/>
  <c r="H102" i="2" s="1"/>
  <c r="L102" i="2" s="1"/>
  <c r="Q90" i="2"/>
  <c r="G90" i="2"/>
  <c r="H90" i="2" s="1"/>
  <c r="L90" i="2" s="1"/>
  <c r="G82" i="2"/>
  <c r="H82" i="2" s="1"/>
  <c r="L82" i="2" s="1"/>
  <c r="Q35" i="2"/>
  <c r="G35" i="2"/>
  <c r="H35" i="2" s="1"/>
  <c r="L35" i="2" s="1"/>
  <c r="G70" i="2"/>
  <c r="H70" i="2" s="1"/>
  <c r="Q70" i="2"/>
  <c r="G13" i="2"/>
  <c r="H13" i="2" s="1"/>
  <c r="L13" i="2" s="1"/>
  <c r="G33" i="2"/>
  <c r="H33" i="2" s="1"/>
  <c r="L33" i="2" s="1"/>
  <c r="H96" i="2"/>
  <c r="L96" i="2" s="1"/>
  <c r="H27" i="2"/>
  <c r="L27" i="2" s="1"/>
  <c r="H80" i="2"/>
  <c r="L80" i="2" s="1"/>
  <c r="H18" i="2"/>
  <c r="L18" i="2" s="1"/>
  <c r="H107" i="2"/>
  <c r="L107" i="2" s="1"/>
  <c r="H98" i="2"/>
  <c r="L98" i="2" s="1"/>
  <c r="H81" i="2"/>
  <c r="L81" i="2" s="1"/>
  <c r="H57" i="2"/>
  <c r="L57" i="2" s="1"/>
  <c r="H78" i="2"/>
  <c r="L78" i="2" s="1"/>
  <c r="H73" i="2"/>
  <c r="L73" i="2" s="1"/>
  <c r="H53" i="2"/>
  <c r="L53" i="2" s="1"/>
  <c r="H17" i="2"/>
  <c r="L17" i="2" s="1"/>
  <c r="H65" i="2"/>
  <c r="L65" i="2" s="1"/>
  <c r="H88" i="2"/>
  <c r="H36" i="2"/>
  <c r="L36" i="2" s="1"/>
  <c r="H38" i="2"/>
  <c r="L38" i="2" s="1"/>
  <c r="H69" i="2"/>
  <c r="L69" i="2" s="1"/>
  <c r="H59" i="2"/>
  <c r="L59" i="2" s="1"/>
  <c r="H56" i="2"/>
  <c r="L56" i="2" s="1"/>
  <c r="H79" i="2"/>
  <c r="L79" i="2" s="1"/>
  <c r="H52" i="2"/>
  <c r="L52" i="2" s="1"/>
  <c r="H39" i="2"/>
  <c r="L39" i="2" s="1"/>
  <c r="H31" i="2"/>
  <c r="L31" i="2" s="1"/>
  <c r="H74" i="2"/>
  <c r="H9" i="2"/>
  <c r="L9" i="2" s="1"/>
  <c r="H93" i="2"/>
  <c r="L93" i="2" s="1"/>
  <c r="H29" i="2"/>
  <c r="L29" i="2" s="1"/>
  <c r="H46" i="2"/>
  <c r="L46" i="2" s="1"/>
  <c r="H87" i="2"/>
  <c r="L87" i="2" s="1"/>
  <c r="H92" i="2"/>
  <c r="H100" i="2"/>
  <c r="L100" i="2" s="1"/>
  <c r="H67" i="2"/>
  <c r="L67" i="2" s="1"/>
  <c r="H14" i="2"/>
  <c r="L14" i="2" s="1"/>
  <c r="H10" i="2"/>
  <c r="L10" i="2" s="1"/>
  <c r="H51" i="2"/>
  <c r="L51" i="2" s="1"/>
  <c r="H28" i="2"/>
  <c r="L28" i="2" s="1"/>
  <c r="H68" i="2"/>
  <c r="L68" i="2" s="1"/>
  <c r="H12" i="2"/>
  <c r="H105" i="2"/>
  <c r="L105" i="2" s="1"/>
  <c r="H101" i="2"/>
  <c r="L101" i="2" s="1"/>
  <c r="H86" i="2"/>
  <c r="L86" i="2" s="1"/>
  <c r="H32" i="2"/>
  <c r="L32" i="2" s="1"/>
  <c r="H47" i="2"/>
  <c r="L47" i="2" s="1"/>
  <c r="H58" i="2"/>
  <c r="L58" i="2" s="1"/>
  <c r="H72" i="2"/>
  <c r="H94" i="2"/>
  <c r="L94" i="2" s="1"/>
  <c r="H11" i="2"/>
  <c r="L11" i="2" s="1"/>
  <c r="H49" i="2"/>
  <c r="L49" i="2" s="1"/>
  <c r="H48" i="2"/>
  <c r="L48" i="2" s="1"/>
  <c r="H23" i="2"/>
  <c r="L23" i="2" s="1"/>
  <c r="H26" i="2"/>
  <c r="L26" i="2" s="1"/>
  <c r="H76" i="2"/>
  <c r="L76" i="2" s="1"/>
  <c r="H106" i="2"/>
  <c r="L106" i="2" s="1"/>
  <c r="H21" i="2"/>
  <c r="L21" i="2" s="1"/>
  <c r="H7" i="2"/>
  <c r="H99" i="2"/>
  <c r="L99" i="2" s="1"/>
  <c r="H61" i="2"/>
  <c r="L61" i="2" s="1"/>
  <c r="H95" i="2"/>
  <c r="H71" i="2"/>
  <c r="H77" i="2"/>
  <c r="L77" i="2" s="1"/>
  <c r="H108" i="2"/>
  <c r="H34" i="2"/>
  <c r="L34" i="2" s="1"/>
  <c r="H66" i="2"/>
  <c r="L66" i="2" s="1"/>
  <c r="H8" i="2"/>
  <c r="L8" i="2" s="1"/>
  <c r="H89" i="2"/>
  <c r="L89" i="2" s="1"/>
  <c r="H97" i="2"/>
  <c r="L97" i="2" s="1"/>
  <c r="H16" i="2"/>
  <c r="L16" i="2" s="1"/>
  <c r="H91" i="2"/>
  <c r="L91" i="2" s="1"/>
  <c r="H54" i="2"/>
  <c r="H6" i="2"/>
  <c r="L6" i="2" s="1"/>
  <c r="H19" i="2"/>
  <c r="L19" i="2" s="1"/>
  <c r="O94" i="2" l="1"/>
  <c r="O98" i="2"/>
  <c r="K70" i="2"/>
  <c r="L70" i="2" s="1"/>
  <c r="K54" i="2"/>
  <c r="L54" i="2" s="1"/>
  <c r="O36" i="2"/>
  <c r="O55" i="2"/>
  <c r="K43" i="2"/>
  <c r="O80" i="2"/>
  <c r="K44" i="2"/>
  <c r="O38" i="2"/>
  <c r="K74" i="2"/>
  <c r="L74" i="2" s="1"/>
  <c r="K23" i="2"/>
  <c r="K28" i="2"/>
  <c r="K61" i="2"/>
  <c r="K7" i="2"/>
  <c r="L7" i="2" s="1"/>
  <c r="K18" i="2"/>
  <c r="K21" i="2"/>
  <c r="K84" i="2"/>
  <c r="O90" i="2"/>
  <c r="K93" i="2"/>
  <c r="K97" i="2"/>
  <c r="K88" i="2"/>
  <c r="L88" i="2" s="1"/>
  <c r="K85" i="2"/>
  <c r="K34" i="2"/>
  <c r="K49" i="2"/>
  <c r="O75" i="2"/>
  <c r="O17" i="2"/>
  <c r="K45" i="2"/>
  <c r="O24" i="2"/>
  <c r="O28" i="2"/>
  <c r="O52" i="2"/>
  <c r="K53" i="2"/>
  <c r="K55" i="2"/>
  <c r="O108" i="2"/>
  <c r="K11" i="2"/>
  <c r="O51" i="2"/>
  <c r="K104" i="2"/>
  <c r="K73" i="2"/>
  <c r="K10" i="2"/>
  <c r="K79" i="2"/>
  <c r="K78" i="2"/>
  <c r="K94" i="2"/>
  <c r="O14" i="2"/>
  <c r="K56" i="2"/>
  <c r="K57" i="2"/>
  <c r="O19" i="2"/>
  <c r="K77" i="2"/>
  <c r="O25" i="2"/>
  <c r="O67" i="2"/>
  <c r="O64" i="2"/>
  <c r="O81" i="2"/>
  <c r="K50" i="2"/>
  <c r="K71" i="2"/>
  <c r="L71" i="2" s="1"/>
  <c r="O100" i="2"/>
  <c r="O59" i="2"/>
  <c r="O20" i="2"/>
  <c r="O6" i="2"/>
  <c r="K40" i="2"/>
  <c r="O35" i="2"/>
  <c r="K15" i="2"/>
  <c r="K83" i="2"/>
  <c r="K95" i="2"/>
  <c r="L95" i="2" s="1"/>
  <c r="K92" i="2"/>
  <c r="L92" i="2" s="1"/>
  <c r="O103" i="2"/>
  <c r="O61" i="2"/>
  <c r="K87" i="2"/>
  <c r="O69" i="2"/>
  <c r="K98" i="2"/>
  <c r="K91" i="2"/>
  <c r="O22" i="2"/>
  <c r="O30" i="2"/>
  <c r="K107" i="2"/>
  <c r="O47" i="2"/>
  <c r="O106" i="2"/>
  <c r="K76" i="2"/>
  <c r="O9" i="2"/>
  <c r="K89" i="2"/>
  <c r="O105" i="2"/>
  <c r="O8" i="2"/>
  <c r="K63" i="2"/>
  <c r="O96" i="2"/>
  <c r="O13" i="2"/>
  <c r="K33" i="2"/>
  <c r="K42" i="2"/>
  <c r="K99" i="2"/>
  <c r="K46" i="2"/>
  <c r="K16" i="2"/>
  <c r="K29" i="2"/>
  <c r="K102" i="2"/>
  <c r="K32" i="2"/>
  <c r="O60" i="2"/>
  <c r="K86" i="2"/>
  <c r="K37" i="2"/>
  <c r="O101" i="2"/>
  <c r="O26" i="2"/>
  <c r="O27" i="2"/>
  <c r="K66" i="2"/>
  <c r="K12" i="2"/>
  <c r="L12" i="2" s="1"/>
  <c r="O31" i="2"/>
  <c r="K41" i="2"/>
  <c r="O34" i="2"/>
  <c r="K48" i="2"/>
  <c r="O68" i="2"/>
  <c r="O39" i="2"/>
  <c r="K82" i="2"/>
  <c r="O33" i="2"/>
  <c r="O83" i="2"/>
  <c r="K9" i="2"/>
  <c r="O71" i="2"/>
  <c r="K31" i="2"/>
  <c r="O16" i="2"/>
  <c r="O99" i="2"/>
  <c r="O104" i="2"/>
  <c r="O29" i="2"/>
  <c r="O57" i="2"/>
  <c r="O7" i="2"/>
  <c r="O32" i="2"/>
  <c r="K90" i="2"/>
  <c r="K24" i="2"/>
  <c r="K14" i="2"/>
  <c r="K38" i="2"/>
  <c r="O97" i="2"/>
  <c r="O11" i="2"/>
  <c r="K106" i="2"/>
  <c r="K8" i="2"/>
  <c r="K51" i="2"/>
  <c r="O89" i="2"/>
  <c r="O50" i="2"/>
  <c r="O66" i="2"/>
  <c r="K58" i="2"/>
  <c r="O76" i="2"/>
  <c r="K72" i="2"/>
  <c r="L72" i="2" s="1"/>
  <c r="O84" i="2"/>
  <c r="O95" i="2"/>
  <c r="O73" i="2"/>
  <c r="O18" i="2"/>
  <c r="O58" i="2"/>
  <c r="O93" i="2"/>
  <c r="O12" i="2"/>
  <c r="K60" i="2"/>
  <c r="O92" i="2"/>
  <c r="K64" i="2"/>
  <c r="O65" i="2"/>
  <c r="K65" i="2"/>
  <c r="O87" i="2"/>
  <c r="O63" i="2"/>
  <c r="O43" i="2"/>
  <c r="O10" i="2"/>
  <c r="K75" i="2"/>
  <c r="O53" i="2"/>
  <c r="O72" i="2"/>
  <c r="O62" i="2"/>
  <c r="K62" i="2"/>
  <c r="O56" i="2"/>
  <c r="O42" i="2"/>
  <c r="O49" i="2"/>
  <c r="K20" i="2"/>
  <c r="K108" i="2"/>
  <c r="L108" i="2" s="1"/>
  <c r="K47" i="2"/>
  <c r="K39" i="2"/>
  <c r="K19" i="2"/>
  <c r="K69" i="2"/>
  <c r="O85" i="2"/>
  <c r="K6" i="2"/>
  <c r="O44" i="2"/>
  <c r="K80" i="2"/>
  <c r="O77" i="2"/>
  <c r="K26" i="2"/>
  <c r="K68" i="2"/>
  <c r="K67" i="2"/>
  <c r="K52" i="2"/>
  <c r="K59" i="2"/>
  <c r="O41" i="2"/>
  <c r="O23" i="2"/>
  <c r="K13" i="2"/>
  <c r="K101" i="2"/>
  <c r="K100" i="2"/>
  <c r="O46" i="2"/>
  <c r="O74" i="2"/>
  <c r="O15" i="2"/>
  <c r="O37" i="2"/>
  <c r="O82" i="2"/>
  <c r="K22" i="2"/>
  <c r="O91" i="2"/>
  <c r="O45" i="2"/>
  <c r="O40" i="2"/>
  <c r="O21" i="2"/>
  <c r="O48" i="2"/>
  <c r="K25" i="2"/>
  <c r="K30" i="2"/>
  <c r="K105" i="2"/>
  <c r="K35" i="2"/>
  <c r="O79" i="2"/>
  <c r="K103" i="2"/>
  <c r="L103" i="2" s="1"/>
  <c r="O88" i="2"/>
  <c r="K17" i="2"/>
  <c r="K81" i="2"/>
  <c r="O107" i="2"/>
  <c r="K96" i="2"/>
  <c r="O70" i="2"/>
  <c r="O102" i="2"/>
  <c r="O86" i="2"/>
  <c r="K36" i="2"/>
  <c r="O78" i="2"/>
  <c r="O54" i="2"/>
  <c r="K27" i="2"/>
  <c r="Q5" i="2" l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tc={801FB750-EDA9-4722-A149-F4203136F8B6}</author>
    <author>tc={D46A7CB1-BDB5-41F0-9F75-0EEC3843E89D}</author>
  </authors>
  <commentList>
    <comment ref="H4" authorId="0" shapeId="0" xr:uid="{801FB750-EDA9-4722-A149-F4203136F8B6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Prioridade financeira (A, B ou C)</t>
        </r>
      </text>
    </comment>
    <comment ref="I4" authorId="1" shapeId="0" xr:uid="{D46A7CB1-BDB5-41F0-9F75-0EEC3843E89D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Impacto operacional (Sim/Não)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5980D-BEFD-4AA4-8BD0-0138CAF3354A}" keepAlive="1" name="ThisWorkbookDataModel" description="Modelo de Dados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8FC9D7A-5E96-4EF9-8C06-225BCCFBEFB2}" name="WorksheetConnection_Consumo Mensal Fevereiro 022026 Projeto.xlsx!TBConsumo" type="102" refreshedVersion="7" minRefreshableVersion="5">
    <extLst>
      <ext xmlns:x15="http://schemas.microsoft.com/office/spreadsheetml/2010/11/main" uri="{DE250136-89BD-433C-8126-D09CA5730AF9}">
        <x15:connection id="TBConsumo">
          <x15:rangePr sourceName="_xlcn.WorksheetConnection_ConsumoMensalFevereiro022026Projeto.xlsxTBConsumo"/>
        </x15:connection>
      </ext>
    </extLst>
  </connection>
  <connection id="3" xr16:uid="{A10B2D4C-940C-45EE-8075-196C755F2D35}" name="WorksheetConnection_Consumo Mensal Fevereiro 022026 Projeto.xlsx!TBEstoque" type="102" refreshedVersion="7" minRefreshableVersion="5">
    <extLst>
      <ext xmlns:x15="http://schemas.microsoft.com/office/spreadsheetml/2010/11/main" uri="{DE250136-89BD-433C-8126-D09CA5730AF9}">
        <x15:connection id="TBEstoque">
          <x15:rangePr sourceName="_xlcn.WorksheetConnection_ConsumoMensalFevereiro022026Projeto.xlsxTBEstoque"/>
        </x15:connection>
      </ext>
    </extLst>
  </connection>
  <connection id="4" xr16:uid="{185FB1EB-F1DE-4BE7-8953-A09B29E9382D}" name="WorksheetConnection_Consumo Mensal Fevereiro 022026 Projeto.xlsx!TBSuprimentos" type="102" refreshedVersion="7" minRefreshableVersion="5">
    <extLst>
      <ext xmlns:x15="http://schemas.microsoft.com/office/spreadsheetml/2010/11/main" uri="{DE250136-89BD-433C-8126-D09CA5730AF9}">
        <x15:connection id="TBSuprimentos">
          <x15:rangePr sourceName="_xlcn.WorksheetConnection_ConsumoMensalFevereiro022026Projeto.xlsxTBSuprimentos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TBEstoque].[ITEM ESSENCIAL].&amp;[SIM]}"/>
    <s v="{[TBEstoque].[CURVA ABC].&amp;[C]}"/>
    <s v="{[TBConsumo].[CATEGÓRIA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<sst xmlns="http://schemas.openxmlformats.org/spreadsheetml/2006/main" count="3452" uniqueCount="325">
  <si>
    <t>SKU</t>
  </si>
  <si>
    <t>NF-e</t>
  </si>
  <si>
    <t>Limpeza</t>
  </si>
  <si>
    <t>PAPEL TOALHA OUROPPEL COM 8 ROLOS (CX)</t>
  </si>
  <si>
    <t>Caixa</t>
  </si>
  <si>
    <t>Expedição</t>
  </si>
  <si>
    <t>ÁGUA SANITARIA SUPER CANDIDA GALÃO 5 LTS</t>
  </si>
  <si>
    <t>DESINFETANTE FLORAL GALÃO 5 LTS</t>
  </si>
  <si>
    <t>Copa</t>
  </si>
  <si>
    <t>CHOCOLATE EM PÓ 1KG (UNID)</t>
  </si>
  <si>
    <t>CAFÉ EM GRÃO MÁQUINA (UNID)</t>
  </si>
  <si>
    <t>LEITE EM PÓ 400 G (UNID)</t>
  </si>
  <si>
    <t>SACO PARA LIXO BRANCO 100L (PCT)</t>
  </si>
  <si>
    <t>ESPONJA DUPLA FACE 3M (UNI)</t>
  </si>
  <si>
    <t>Unidade</t>
  </si>
  <si>
    <t>AÇÚCAR (UNID) PACOTE 1 KG</t>
  </si>
  <si>
    <t>COPO DESCARTÁVEL 180ML (PCT)</t>
  </si>
  <si>
    <t>PAPEL HIGIÊNICO ROLÃO C/ 8 BOBINAS DE 200M (CX)</t>
  </si>
  <si>
    <t>PAPEL TOALHA INTERFOLHA C/ 4.800 FLS (CX)</t>
  </si>
  <si>
    <t>PEDRA SANITÁRIA (UNI)</t>
  </si>
  <si>
    <t>SACO PARA LIXO BRANCO 60L (PCT)</t>
  </si>
  <si>
    <t>VEJA MULTIUSO (UNI)</t>
  </si>
  <si>
    <t>Laboratório</t>
  </si>
  <si>
    <t>SONTARA (UNI)</t>
  </si>
  <si>
    <t>Adm</t>
  </si>
  <si>
    <t>FOLHA DE SULFITE A5 PACOTE</t>
  </si>
  <si>
    <t>FOLHA DE SULFITE A4 PACOTE</t>
  </si>
  <si>
    <t>LUVA SEM PÓ P LATEX (CX)</t>
  </si>
  <si>
    <t>LUVA SEM PÓ PP LATEX (CX)</t>
  </si>
  <si>
    <t>LUVA SEM PÓ M LATEX (CX)</t>
  </si>
  <si>
    <t>PAPEL MULTIUSO INTERFOLHADO DEMARCARE NEVE</t>
  </si>
  <si>
    <t>ENVELOPE PREMIUN TNT M</t>
  </si>
  <si>
    <t>ENVELOPE PREMIUN TNT P</t>
  </si>
  <si>
    <t>ENVELOPE COM BOLHA M (UNID)</t>
  </si>
  <si>
    <t>ENVELOPE COM BOLHA P (UNID)</t>
  </si>
  <si>
    <t>FITA TRANSPARENTE 48 X 100M (UNI)</t>
  </si>
  <si>
    <t>CAIXA PAPELÃO PARDA Nº02 (UNID)</t>
  </si>
  <si>
    <t>CAIXA PAPELÃO PARDA Nº04 (UNID)</t>
  </si>
  <si>
    <t>SABÃO EM PÓ TRIPLAÇÃO (CX)</t>
  </si>
  <si>
    <t>SABÃO EM PEDRA (UNI)</t>
  </si>
  <si>
    <t>DESINFETANTE LAVANDA GALÃO 5 LTS</t>
  </si>
  <si>
    <t>MÁSCARA TRIPLA DESCARTÁVEL (CAIXA 50 UNI)</t>
  </si>
  <si>
    <t>DETERGENTE LÍQUIDO YPÊ CLEAR GALÃO 5L</t>
  </si>
  <si>
    <t>FLANELA BRANCA (UNI)</t>
  </si>
  <si>
    <t>LUSTRA MÓVEIS POLIFLOR (UNI)</t>
  </si>
  <si>
    <t>SABONETE LÍQUIDO 5 LTS (UNI)</t>
  </si>
  <si>
    <t>SACO PARA LIXO PRETO 100L (PCT)</t>
  </si>
  <si>
    <t>BOM AR</t>
  </si>
  <si>
    <t>PANO DE CHÃO BRANCO ALVEJADO (UNI)</t>
  </si>
  <si>
    <t>CAFÉ EM PÓ (UNID) PACOTE 500 GRAMAS</t>
  </si>
  <si>
    <t>SAPOLIO CREMOSO MULTIUSO (UNI)</t>
  </si>
  <si>
    <t>SACO PARA LIXO PRETO 60L (PCT)</t>
  </si>
  <si>
    <t>SACO PARA LIXO PRETO 20L (PCT)</t>
  </si>
  <si>
    <t>PROPÉ (PCT C/100)</t>
  </si>
  <si>
    <t>AVENTAL DESCARTÁVEL PCT C/ 10 UNIDADES</t>
  </si>
  <si>
    <t>SACO PLASTICO 15X25 (PCT)</t>
  </si>
  <si>
    <t>Kg</t>
  </si>
  <si>
    <t>SACO PLASTICO 10X15 (PCT)</t>
  </si>
  <si>
    <t>SACO PLASTICO 20X30 (PCT)</t>
  </si>
  <si>
    <t>SACO PLASTICO 30X40 (PCT)</t>
  </si>
  <si>
    <t>SACO PLASTICO 40X60 (PCT)</t>
  </si>
  <si>
    <t>ETIQUETA 50X50 PARA SACHÊ</t>
  </si>
  <si>
    <t>ETIQUETA 100X30 BOPP ROLO</t>
  </si>
  <si>
    <t>COPO DESCARTÁVEL 160ML (PCT)</t>
  </si>
  <si>
    <t>COPO DESCARTÁVEL 80ML (PCT)</t>
  </si>
  <si>
    <t>SACO PARA LIXO PRETO 40L (PCT)</t>
  </si>
  <si>
    <t>LUVA AZUL TAM: M (PARES)</t>
  </si>
  <si>
    <t>Par</t>
  </si>
  <si>
    <t>LUVA AMARELA TAM: M (PARES)</t>
  </si>
  <si>
    <t>RIBBON RESINA ( PCT C/ 2)</t>
  </si>
  <si>
    <t>BULA OFICIALFARMA</t>
  </si>
  <si>
    <t>GELO AZUL 500ML (UNID)</t>
  </si>
  <si>
    <t>PANO DE CHÃO XADREZ (UNI)</t>
  </si>
  <si>
    <t>LUVA AMARELA TAM: P (PARES)</t>
  </si>
  <si>
    <t>SACOLA G 40X55 + 10CMX0,15MM (SOPLAST)</t>
  </si>
  <si>
    <t>SACOLA P 17,5X25 + 3CMX0,13MM (SOPLAST)</t>
  </si>
  <si>
    <t>ETIQUETA 100X100 COUCHE ROLO C/350</t>
  </si>
  <si>
    <t>CAIXA PAPELÃO PARDA Nº01 (UNID)</t>
  </si>
  <si>
    <t>RIBBON CERÂ (PCT C/ 2) - (UNID)</t>
  </si>
  <si>
    <t>CAIXA TERMICA 3L (UNID)</t>
  </si>
  <si>
    <t>CAIXA TERMICA 5L (UNID)</t>
  </si>
  <si>
    <t>LUVA AMARELA TAM: G (PARES)</t>
  </si>
  <si>
    <t>LUVA AZUL TAM: P (PARES)</t>
  </si>
  <si>
    <t>LUVA COM PÓ PP LATEX (CX)</t>
  </si>
  <si>
    <t>ENVELOPE SEM BOLHA P (UNID)</t>
  </si>
  <si>
    <t>CAIXA PAPELÃO PARDA Nº05 (UNID)</t>
  </si>
  <si>
    <t>PANO DE PRATO (UNI)</t>
  </si>
  <si>
    <t>LUVA COM PÓ P LATEX (CX)</t>
  </si>
  <si>
    <t>Luva Com Pó M Latex (Cx)</t>
  </si>
  <si>
    <t>FRASCO DESCARTÁVEL Y</t>
  </si>
  <si>
    <t>CAIXA PAPELÃO PARDA Nº03 (UNID)</t>
  </si>
  <si>
    <t>BOBINA MANTA BOLHA ALMOFADA MAQUINA WORLD POST (UNID)</t>
  </si>
  <si>
    <t>ABRAÇADEIRA DE NYLON PRETA (PCT C/100)</t>
  </si>
  <si>
    <t>CAIXA PAPELÃO PARDA Nº00 (UNID)</t>
  </si>
  <si>
    <t>BOBINA CUPOM FISCAL BRANCA OFICIAL FARMA (CX)</t>
  </si>
  <si>
    <t>Envelope Premiun TNT G</t>
  </si>
  <si>
    <t>Envelope Premiun TNT P</t>
  </si>
  <si>
    <t>LUVA COM PÓ G LATEX (CX)</t>
  </si>
  <si>
    <t xml:space="preserve">LUSTRA MÓVEIS </t>
  </si>
  <si>
    <t>CAIXA TERMICA 7L (UNID)</t>
  </si>
  <si>
    <t>LUVA SEM PÓ G LATEX (CX)</t>
  </si>
  <si>
    <t>LUVA AMARELA TAM: GG (PARES)</t>
  </si>
  <si>
    <t>ENVELOPE SEM BOLHA M (UNID)</t>
  </si>
  <si>
    <t>LUVA AZUL TAM: G (PARES)</t>
  </si>
  <si>
    <t>ETIQUETA 100X100 BOPP ROLO</t>
  </si>
  <si>
    <t>MÁSCARA DESCARTÁVEL</t>
  </si>
  <si>
    <t>Luva Azul Tam: GG (PARES)</t>
  </si>
  <si>
    <t xml:space="preserve">MÁSCARA Nº95 - UNIDADE </t>
  </si>
  <si>
    <t>FITA GOMADA 80MM(C/1,4 KGX160M) (CAIXA C/ 12 ROLOS)</t>
  </si>
  <si>
    <t>PACOTE SACHÊ 7X12 (CX C/1000)</t>
  </si>
  <si>
    <t>FITA OFICIAL FARMA 48 X 100M (UNID)</t>
  </si>
  <si>
    <t>PACOTE SACHÊ 7X7 (CX C/1000)</t>
  </si>
  <si>
    <t xml:space="preserve">PAPEL MULTIUSO INTERFOLHADO DEMARCARE NEVE  </t>
  </si>
  <si>
    <t>PANO MULTIUSO AMARELO PCT- 2 UNIDADES (PCT)</t>
  </si>
  <si>
    <t>PAPEL MULTIUSO INTERFOLHADO DEMARCARE NEVE  C/ 250 FOLHAS</t>
  </si>
  <si>
    <t>PLÁSTICO BOLHA 1,30 X 100M (UNID/ROLO)</t>
  </si>
  <si>
    <t>RÓTULO R. FIGUEIRAS - 100X50 - LATERAL - ROLO</t>
  </si>
  <si>
    <t>RÓTULO R.FIGUEIRAS - 100X30 - LATERAL - ROLO</t>
  </si>
  <si>
    <t>SACO PARA LIXO BRANCO 20L (PCT)</t>
  </si>
  <si>
    <t>SACO PARA LIXO BRANCO 40L (PCT)</t>
  </si>
  <si>
    <t>TOUCA SANFONADA BRANCO DESCARTÁVEL (PCT C/100)</t>
  </si>
  <si>
    <t>SAPÓLIO CREMOSO</t>
  </si>
  <si>
    <t>ÁGUA DESMINERALIZADA 5 LT</t>
  </si>
  <si>
    <t>FILME STRECH (UNID)</t>
  </si>
  <si>
    <t>SABONETE LÍQUIDO MORANGO &amp; CHAMPAGNE 5 LTS (UNI)</t>
  </si>
  <si>
    <t>Farmácia/Produção</t>
  </si>
  <si>
    <t>Geral</t>
  </si>
  <si>
    <t>CATEGÓRIA</t>
  </si>
  <si>
    <t>DESCRIÇÃO</t>
  </si>
  <si>
    <t>UNID. MEDIDA</t>
  </si>
  <si>
    <t>VALOR UNIT. (R$)</t>
  </si>
  <si>
    <t>VALOR TOTAL (R$)</t>
  </si>
  <si>
    <t>FORNECEDOR</t>
  </si>
  <si>
    <t>ID PEDIDO</t>
  </si>
  <si>
    <t>SOLICITANTE</t>
  </si>
  <si>
    <t>DATA SOLICITADA</t>
  </si>
  <si>
    <t>LEAD TIME (DIAS)</t>
  </si>
  <si>
    <t xml:space="preserve">CATEGÓRIA </t>
  </si>
  <si>
    <t xml:space="preserve">FORNECEDOR </t>
  </si>
  <si>
    <t>STATUS COMPRA</t>
  </si>
  <si>
    <t>1. Definição de KPIs (Indicadores Chave de Desempenho)</t>
  </si>
  <si>
    <r>
      <t xml:space="preserve">Estes indicadores devem monitorar diretamente os dois pilares da dor do seu gestor: </t>
    </r>
    <r>
      <rPr>
        <b/>
        <sz val="11"/>
        <color theme="1"/>
        <rFont val="Aptos Narrow"/>
        <family val="2"/>
        <scheme val="minor"/>
      </rPr>
      <t>Falta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Excesso</t>
    </r>
    <r>
      <rPr>
        <sz val="11"/>
        <color theme="1"/>
        <rFont val="Aptos Narrow"/>
        <family val="2"/>
        <scheme val="minor"/>
      </rPr>
      <t>.</t>
    </r>
  </si>
  <si>
    <t>KPI 1: Nível de Serviço de Itens Essenciais (%)</t>
  </si>
  <si>
    <r>
      <t>O que mede:</t>
    </r>
    <r>
      <rPr>
        <sz val="11"/>
        <color theme="1"/>
        <rFont val="Aptos Narrow"/>
        <family val="2"/>
        <scheme val="minor"/>
      </rPr>
      <t xml:space="preserve"> A porcentagem de itens marcados como "Essenciais" que possuem estoque acima do ponto de pedido.</t>
    </r>
  </si>
  <si>
    <r>
      <t>Objetivo:</t>
    </r>
    <r>
      <rPr>
        <sz val="11"/>
        <color theme="1"/>
        <rFont val="Aptos Narrow"/>
        <family val="2"/>
        <scheme val="minor"/>
      </rPr>
      <t xml:space="preserve"> Manter o mais próximo possível de 100% para garantir que a operação não pare.</t>
    </r>
  </si>
  <si>
    <t>KPI 2: Índice de Capital Imobilizado Crítico (R$)</t>
  </si>
  <si>
    <r>
      <t>O que mede:</t>
    </r>
    <r>
      <rPr>
        <sz val="11"/>
        <color theme="1"/>
        <rFont val="Aptos Narrow"/>
        <family val="2"/>
        <scheme val="minor"/>
      </rPr>
      <t xml:space="preserve"> O valor total em Reais parado em itens com status de "EXCESSO (&gt;90 dias)" ou que pertençam à Classe C da Curva ABC.</t>
    </r>
  </si>
  <si>
    <r>
      <t>Objetivo:</t>
    </r>
    <r>
      <rPr>
        <sz val="11"/>
        <color theme="1"/>
        <rFont val="Aptos Narrow"/>
        <family val="2"/>
        <scheme val="minor"/>
      </rPr>
      <t xml:space="preserve"> Reduzir este valor para liberar fluxo de caixa.</t>
    </r>
  </si>
  <si>
    <t>KPI 3: Cobertura de Estoque por Categoria (Dias)</t>
  </si>
  <si>
    <r>
      <t>O que mede:</t>
    </r>
    <r>
      <rPr>
        <sz val="11"/>
        <color theme="1"/>
        <rFont val="Aptos Narrow"/>
        <family val="2"/>
        <scheme val="minor"/>
      </rPr>
      <t xml:space="preserve"> Quantos dias o estoque atual suporta a operação antes de zerar, calculado por categoria (Ex: Expedição vs. Copa).</t>
    </r>
  </si>
  <si>
    <r>
      <t>Objetivo:</t>
    </r>
    <r>
      <rPr>
        <sz val="11"/>
        <color theme="1"/>
        <rFont val="Aptos Narrow"/>
        <family val="2"/>
        <scheme val="minor"/>
      </rPr>
      <t xml:space="preserve"> Evitar coberturas excessivas (desperdício) em itens não críticos e coberturas baixas em itens essenciais.</t>
    </r>
  </si>
  <si>
    <t>KPI 4: Aderência ao Consumo Planejado (%)</t>
  </si>
  <si>
    <r>
      <t>O que mede:</t>
    </r>
    <r>
      <rPr>
        <sz val="11"/>
        <color theme="1"/>
        <rFont val="Aptos Narrow"/>
        <family val="2"/>
        <scheme val="minor"/>
      </rPr>
      <t xml:space="preserve"> O desvio percentual entre o consumo real e a média histórica.</t>
    </r>
  </si>
  <si>
    <r>
      <t>Objetivo:</t>
    </r>
    <r>
      <rPr>
        <sz val="11"/>
        <color theme="1"/>
        <rFont val="Aptos Narrow"/>
        <family val="2"/>
        <scheme val="minor"/>
      </rPr>
      <t xml:space="preserve"> Identificar desperdícios pontuais ou aumentos de consumo não previstos.</t>
    </r>
  </si>
  <si>
    <t>2. Perguntas de Negócio (Análises para o Dashboard)</t>
  </si>
  <si>
    <t>As perguntas devem guiar a ação do seu gestor, transformando dados em decisões.</t>
  </si>
  <si>
    <t>Pergunta 1: "Quais itens essenciais correm risco de ruptura imediata?"</t>
  </si>
  <si>
    <r>
      <t>Filtro:</t>
    </r>
    <r>
      <rPr>
        <sz val="11"/>
        <color theme="1"/>
        <rFont val="Aptos Narrow"/>
        <family val="2"/>
        <scheme val="minor"/>
      </rPr>
      <t xml:space="preserve"> Status = "COMPRA IMEDIATA" + Essencial = "SIM".</t>
    </r>
  </si>
  <si>
    <r>
      <t>Visual Recomendado:</t>
    </r>
    <r>
      <rPr>
        <sz val="11"/>
        <color theme="1"/>
        <rFont val="Aptos Narrow"/>
        <family val="2"/>
        <scheme val="minor"/>
      </rPr>
      <t xml:space="preserve"> Tabela de Alerta com ícones vermelhos e dias de cobertura restantes.</t>
    </r>
  </si>
  <si>
    <t>Pergunta 2: "Onde o capital está preso sem necessidade (Excesso de Itens C)?"</t>
  </si>
  <si>
    <r>
      <t>Foco:</t>
    </r>
    <r>
      <rPr>
        <sz val="11"/>
        <color theme="1"/>
        <rFont val="Aptos Narrow"/>
        <family val="2"/>
        <scheme val="minor"/>
      </rPr>
      <t xml:space="preserve"> Itens de baixo valor (Classe C) ou baixa rotatividade com grandes quantidades paradas.</t>
    </r>
  </si>
  <si>
    <r>
      <t>Visual Recomendado:</t>
    </r>
    <r>
      <rPr>
        <sz val="11"/>
        <color theme="1"/>
        <rFont val="Aptos Narrow"/>
        <family val="2"/>
        <scheme val="minor"/>
      </rPr>
      <t xml:space="preserve"> Gráfico de Treemap mostrando o valor imobilizado por categoria e descrição do item.</t>
    </r>
  </si>
  <si>
    <t>Pergunta 3: "Quem são os maiores responsáveis por desvios de consumo?"</t>
  </si>
  <si>
    <r>
      <t>Foco:</t>
    </r>
    <r>
      <rPr>
        <sz val="11"/>
        <color theme="1"/>
        <rFont val="Aptos Narrow"/>
        <family val="2"/>
        <scheme val="minor"/>
      </rPr>
      <t xml:space="preserve"> Cruzar o valor consumido com os solicitantes para identificar onde o desperdício está acontecendo.</t>
    </r>
  </si>
  <si>
    <r>
      <t>Visual Recomendado:</t>
    </r>
    <r>
      <rPr>
        <sz val="11"/>
        <color theme="1"/>
        <rFont val="Aptos Narrow"/>
        <family val="2"/>
        <scheme val="minor"/>
      </rPr>
      <t xml:space="preserve"> Gráfico de Barras Empilhadas (Eixo: Solicitante | Valor: Consumo Total).</t>
    </r>
  </si>
  <si>
    <t>Pergunta 4: "Qual o Saving (Economia) potencial se eliminarmos o excesso?"</t>
  </si>
  <si>
    <r>
      <t>Foco:</t>
    </r>
    <r>
      <rPr>
        <sz val="11"/>
        <color theme="1"/>
        <rFont val="Aptos Narrow"/>
        <family val="2"/>
        <scheme val="minor"/>
      </rPr>
      <t xml:space="preserve"> Quantificar em dinheiro o impacto de reduzir o estoque de segurança de itens não críticos.</t>
    </r>
  </si>
  <si>
    <r>
      <t>Visual Recomendado:</t>
    </r>
    <r>
      <rPr>
        <sz val="11"/>
        <color theme="1"/>
        <rFont val="Aptos Narrow"/>
        <family val="2"/>
        <scheme val="minor"/>
      </rPr>
      <t xml:space="preserve"> Cartão de destaque com o valor total de "Saving Estimado".</t>
    </r>
  </si>
  <si>
    <t>CURVA ABC</t>
  </si>
  <si>
    <t>ITEM ESSENCIAL</t>
  </si>
  <si>
    <t>A</t>
  </si>
  <si>
    <t>C</t>
  </si>
  <si>
    <t>B</t>
  </si>
  <si>
    <t>SIM</t>
  </si>
  <si>
    <t>NÃO</t>
  </si>
  <si>
    <t>ESTOQUE ATUAL</t>
  </si>
  <si>
    <t>CONSUMO MÉDIO MENSAL</t>
  </si>
  <si>
    <t>UNID. DESTINO</t>
  </si>
  <si>
    <t>DATA MOVIMENTADA</t>
  </si>
  <si>
    <t xml:space="preserve">SUGESTÃO QTDE </t>
  </si>
  <si>
    <t>CUSTO PEDIDO (R$)</t>
  </si>
  <si>
    <t>LEAD TIME ALVO</t>
  </si>
  <si>
    <t>QTDE SOLICITADA</t>
  </si>
  <si>
    <t>Cx</t>
  </si>
  <si>
    <t>Gl</t>
  </si>
  <si>
    <t>Pct</t>
  </si>
  <si>
    <t>Unid</t>
  </si>
  <si>
    <t>Fd C/ 10 Unid</t>
  </si>
  <si>
    <t>Fd C/ 1000 Unid</t>
  </si>
  <si>
    <t>Fd C/ 20 Unid</t>
  </si>
  <si>
    <t>Fd C/ 25 Unid</t>
  </si>
  <si>
    <t xml:space="preserve">Pct </t>
  </si>
  <si>
    <t>MÉDIA CONSUMO</t>
  </si>
  <si>
    <t>FATOR EMBALAGEM</t>
  </si>
  <si>
    <t>FATOR MEDIDA</t>
  </si>
  <si>
    <t>Fardo</t>
  </si>
  <si>
    <t>Far</t>
  </si>
  <si>
    <t>Cartela</t>
  </si>
  <si>
    <t>CX</t>
  </si>
  <si>
    <t>PRAZO FORNECEDOR (DIAS)</t>
  </si>
  <si>
    <t>Data</t>
  </si>
  <si>
    <t>Feriado</t>
  </si>
  <si>
    <t>Dia da Semana</t>
  </si>
  <si>
    <t>Quinta-feira</t>
  </si>
  <si>
    <t>Confraternização Universal</t>
  </si>
  <si>
    <t>Segunda-feira</t>
  </si>
  <si>
    <t>Carnaval (Ponto Facultativo)</t>
  </si>
  <si>
    <t>Terça-feira</t>
  </si>
  <si>
    <t>Quarta-feira</t>
  </si>
  <si>
    <t>Quarta-feira de Cinzas (Ponto Facultativo até 14h)</t>
  </si>
  <si>
    <t>Sexta-feira</t>
  </si>
  <si>
    <t>Sexta-feira Santa</t>
  </si>
  <si>
    <t>Domingo</t>
  </si>
  <si>
    <t>Páscoa</t>
  </si>
  <si>
    <t>Tiradentes</t>
  </si>
  <si>
    <t>Dia do Trabalho</t>
  </si>
  <si>
    <t>Corpus Christi (Ponto Facultativo)</t>
  </si>
  <si>
    <t>Revolução Constitucionalista (Estadual SP)</t>
  </si>
  <si>
    <t>Independência do Brasil</t>
  </si>
  <si>
    <t>Nossa Sra. Aparecida</t>
  </si>
  <si>
    <t>Dia do Servidor Público (Ponto Facultativo)</t>
  </si>
  <si>
    <t>Finados</t>
  </si>
  <si>
    <t>Proclamação da República</t>
  </si>
  <si>
    <t>Dia da Consciência Negra</t>
  </si>
  <si>
    <t>Natal</t>
  </si>
  <si>
    <t>DATA ENTREGA (REAL)</t>
  </si>
  <si>
    <t>COMPRA IMEDIATA</t>
  </si>
  <si>
    <t>RUPTURA</t>
  </si>
  <si>
    <t>Total Geral</t>
  </si>
  <si>
    <t>Rótulos de Coluna</t>
  </si>
  <si>
    <t>Descrição</t>
  </si>
  <si>
    <t>All</t>
  </si>
  <si>
    <t>FORNECEDOR 01</t>
  </si>
  <si>
    <t>FORNECEDOR 02</t>
  </si>
  <si>
    <t>FORNECEDOR 03</t>
  </si>
  <si>
    <t>FORNECEDOR 04</t>
  </si>
  <si>
    <t>FORNECEDOR 05</t>
  </si>
  <si>
    <t>FORNECEDOR 06</t>
  </si>
  <si>
    <t>FORNECEDOR 07</t>
  </si>
  <si>
    <t>FORNECEDOR 08</t>
  </si>
  <si>
    <t>FORNECEDOR 09</t>
  </si>
  <si>
    <t>FORNECEDOR 10</t>
  </si>
  <si>
    <t>FORNECEDOR 11</t>
  </si>
  <si>
    <t>FORNECEDOR 12</t>
  </si>
  <si>
    <t>FORNECEDOR 13</t>
  </si>
  <si>
    <t>FORNECEDOR 14</t>
  </si>
  <si>
    <t>FORNECEDOR 15</t>
  </si>
  <si>
    <t>FORNECEDOR 16</t>
  </si>
  <si>
    <t>FORNECEDOR 17</t>
  </si>
  <si>
    <t>FORNECEDOR 18</t>
  </si>
  <si>
    <t>FORNECEDOR 19</t>
  </si>
  <si>
    <t>FORNECEDOR 20</t>
  </si>
  <si>
    <t>FORNECEDOR 21</t>
  </si>
  <si>
    <t>FORNECEDOR 22</t>
  </si>
  <si>
    <t>FORNECEDOR 23</t>
  </si>
  <si>
    <t>CD Logística - Regional ABC</t>
  </si>
  <si>
    <t>Farmácia Satélite - Unidade 02</t>
  </si>
  <si>
    <t>Farmácia Satélite - Unidade 03</t>
  </si>
  <si>
    <t>Planta Industrial - Suprimentos</t>
  </si>
  <si>
    <t>Farmácia Satélite - Unidade 04</t>
  </si>
  <si>
    <t>Escritório Central - Sede</t>
  </si>
  <si>
    <t>Escritório Apoio - Gestão</t>
  </si>
  <si>
    <t>Farmácia Satélite - Unidade 05</t>
  </si>
  <si>
    <t>Farmácia Principal - Unidade 01</t>
  </si>
  <si>
    <t>Almoxarifado Central</t>
  </si>
  <si>
    <t>Auxiliar Operacional 01</t>
  </si>
  <si>
    <t>Assistente Administrativo 01</t>
  </si>
  <si>
    <t>Farmacêutico Pleno 01</t>
  </si>
  <si>
    <t>Farmacêutico Pleno 02</t>
  </si>
  <si>
    <t>Auxiliar Operacional 02</t>
  </si>
  <si>
    <t>Farmacêutico Pleno 03</t>
  </si>
  <si>
    <t>Secretária Executiva</t>
  </si>
  <si>
    <t>Analista Financeiro</t>
  </si>
  <si>
    <t>Auxiliar Operacional 03</t>
  </si>
  <si>
    <t>Farmacêutico Pleno 04</t>
  </si>
  <si>
    <t>Assistente Administrativo 02</t>
  </si>
  <si>
    <t>Assistente Administrativo 03</t>
  </si>
  <si>
    <t>Assistente Administrativo 04</t>
  </si>
  <si>
    <t>Conferente de Carga</t>
  </si>
  <si>
    <t>Auxiliar de Recebimento</t>
  </si>
  <si>
    <t>Almoxarife Jr</t>
  </si>
  <si>
    <t>Gestor de Inventário</t>
  </si>
  <si>
    <t>Líder de Equipe 01</t>
  </si>
  <si>
    <t>Líder de Equipe 02</t>
  </si>
  <si>
    <t>Líder de Equipe 03</t>
  </si>
  <si>
    <t>Farmacêutico Pleno 05</t>
  </si>
  <si>
    <t>Centro de Distribuição - Áragon</t>
  </si>
  <si>
    <t>Qual a nossa eficiência em manter o que é vital disponível?</t>
  </si>
  <si>
    <t>Quanto dinheiro temos parado em itens que não giram (Classe C)?</t>
  </si>
  <si>
    <t>Por quanto tempo nossa operação sobrevive com o que temos hoje?</t>
  </si>
  <si>
    <t>O que estamos consumindo está dentro do planejado ou há desperdício?</t>
  </si>
  <si>
    <t>Nível de Serviço Essencial (%)</t>
  </si>
  <si>
    <t>Capital Imobilizado Crítico (R$)</t>
  </si>
  <si>
    <t>Cobertura de Estoque (Dias)</t>
  </si>
  <si>
    <t>Aderência ao Consumo (%)</t>
  </si>
  <si>
    <t>Quais itens essenciais correm risco de ruptura imediata?</t>
  </si>
  <si>
    <t>340,98</t>
  </si>
  <si>
    <t>397,44</t>
  </si>
  <si>
    <t>1.467,98</t>
  </si>
  <si>
    <t>1.489,02</t>
  </si>
  <si>
    <t>5.520,00</t>
  </si>
  <si>
    <t>451,95</t>
  </si>
  <si>
    <t>15.029,35</t>
  </si>
  <si>
    <t>2.691,00</t>
  </si>
  <si>
    <t>274,28</t>
  </si>
  <si>
    <t>Máx. de SKU</t>
  </si>
  <si>
    <t>Onde o capital está preso sem necessidade (Excesso de Itens C)?</t>
  </si>
  <si>
    <t>Este valor refere-se especificamente aos itens que não giram e estão travados no estoque.</t>
  </si>
  <si>
    <t>Como está distribuído o consumo de materiais por Unidade e qual o impacto financeiro de cada Solicitante no orçamento?</t>
  </si>
  <si>
    <t>Vou implementar um controle baseado na média de consumo dos últimos 3 meses</t>
  </si>
  <si>
    <t>Qualquer solicitação que ultrapasse essa média histórica será sinalizada como desvio para a gerência, impedindo o faturamento automático</t>
  </si>
  <si>
    <t>O foco aqui é o eliminação inteligente, O saldo atual (como as luvas com pó) será transferido para as unidades das farmácias, expedição, almoxarifado e advanced,</t>
  </si>
  <si>
    <t>com o objetivo é queimar esse estoque em áreas onde o produto é aceito, recuperando o valor investido e evitando a perda total</t>
  </si>
  <si>
    <t>Os itens essenciais estão comprados, mas o prazo de 15 dias úteis do fornecedor cria um buraco no estoque.</t>
  </si>
  <si>
    <t xml:space="preserve">A estratégia não é fazer compras pequenas, mas sim ajustar o próximo pedido mensal adicionando uma margem de segurança de 15 dias úteis extras, </t>
  </si>
  <si>
    <t>Isso garante que o estoque dure até a entrega do mês seguinte sem sustos</t>
  </si>
  <si>
    <t>O índice de 100% mascara excesso de capital imobilizado. Ação estratégica: parametrizamos o ressuprimento por categoria.</t>
  </si>
  <si>
    <t>Copa/Limpeza caem para 30 dias de cobertura (+15 de lead time), enquanto Produção/Expedição mantêm 90 dias (+30 de lead time). Otimiza-se o caixa sem risco de ruptura.</t>
  </si>
  <si>
    <t>O baixo índice indica requisições descontroladas que forçam fretes emergenciais. Ação: auditoria nos setores ofensores via Pareto e criação de trava sistêmica.</t>
  </si>
  <si>
    <t>Pedidos que desrespeitem o teto da sua categoria serão bloqueados e exigirão aprovação gerencial prévia.</t>
  </si>
  <si>
    <t>Fim da reposição por "achismo". O gatilho de "Compra Imediata" agora é dinâmico, cruzando o saldo com o lead time específico da categoria (15 ou 30 dias úteis).</t>
  </si>
  <si>
    <t>O sistema automatiza o pedido no timing exato, blindando a operação sem inflar o estoque.</t>
  </si>
  <si>
    <t>R$ 17.583,65 parados em itens sem giro. Ação imediata: transferência de saldo entre unidades para forçar o consumo.</t>
  </si>
  <si>
    <t>Ação preventiva: o ERP passará a operar com estoque mínimo restrito para a Classe C, liberando compras apenas para picos sazonais ou urgências.</t>
  </si>
  <si>
    <t>Custo Total do Pedido de Compras do Mês de Fevereiro R$ 27.531,98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</si>
</sst>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_-"/>
    <numFmt numFmtId="165" formatCode="0.0%;\-0.0%;0.0%"/>
    <numFmt numFmtId="166" formatCode="0.0%"/>
  </numFmts>
  <fonts count="1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Segoe UI"/>
      <family val="2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b/>
      <sz val="11"/>
      <color theme="1"/>
      <name val="Segoe UI"/>
      <family val="2"/>
    </font>
    <font>
      <b/>
      <sz val="13.5"/>
      <color theme="1"/>
      <name val="Aptos Narrow"/>
      <family val="2"/>
      <scheme val="minor"/>
    </font>
    <font>
      <b/>
      <sz val="11"/>
      <color rgb="FFFF0000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1" fontId="1" fillId="0" borderId="0" xfId="0" applyNumberFormat="1" applyFont="1"/>
    <xf numFmtId="0" fontId="0" fillId="0" borderId="0" xfId="0" applyAlignment="1">
      <alignment horizontal="left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4" xfId="0" applyFont="1" applyBorder="1"/>
    <xf numFmtId="3" fontId="7" fillId="0" borderId="4" xfId="0" applyNumberFormat="1" applyFont="1" applyBorder="1"/>
    <xf numFmtId="1" fontId="7" fillId="0" borderId="4" xfId="0" applyNumberFormat="1" applyFont="1" applyBorder="1"/>
    <xf numFmtId="0" fontId="8" fillId="0" borderId="5" xfId="0" applyFont="1" applyBorder="1"/>
    <xf numFmtId="1" fontId="7" fillId="0" borderId="5" xfId="0" applyNumberFormat="1" applyFont="1" applyBorder="1"/>
    <xf numFmtId="14" fontId="8" fillId="0" borderId="5" xfId="0" applyNumberFormat="1" applyFont="1" applyBorder="1"/>
    <xf numFmtId="1" fontId="8" fillId="0" borderId="5" xfId="0" applyNumberFormat="1" applyFont="1" applyBorder="1"/>
    <xf numFmtId="0" fontId="7" fillId="0" borderId="5" xfId="0" applyFont="1" applyBorder="1"/>
    <xf numFmtId="14" fontId="7" fillId="0" borderId="5" xfId="0" applyNumberFormat="1" applyFont="1" applyBorder="1"/>
    <xf numFmtId="0" fontId="7" fillId="0" borderId="5" xfId="0" applyFont="1" applyBorder="1" applyAlignment="1">
      <alignment horizontal="left"/>
    </xf>
    <xf numFmtId="4" fontId="8" fillId="8" borderId="5" xfId="1" applyNumberFormat="1" applyFont="1" applyFill="1" applyBorder="1"/>
    <xf numFmtId="4" fontId="7" fillId="8" borderId="5" xfId="1" applyNumberFormat="1" applyFont="1" applyFill="1" applyBorder="1"/>
    <xf numFmtId="0" fontId="7" fillId="0" borderId="6" xfId="0" applyFont="1" applyBorder="1"/>
    <xf numFmtId="0" fontId="7" fillId="0" borderId="6" xfId="0" applyFont="1" applyBorder="1" applyAlignment="1">
      <alignment horizontal="left"/>
    </xf>
    <xf numFmtId="14" fontId="7" fillId="0" borderId="6" xfId="0" applyNumberFormat="1" applyFont="1" applyBorder="1"/>
    <xf numFmtId="1" fontId="8" fillId="0" borderId="6" xfId="0" applyNumberFormat="1" applyFont="1" applyBorder="1"/>
    <xf numFmtId="4" fontId="7" fillId="7" borderId="4" xfId="1" applyNumberFormat="1" applyFont="1" applyFill="1" applyBorder="1"/>
    <xf numFmtId="0" fontId="9" fillId="0" borderId="0" xfId="0" applyFont="1"/>
    <xf numFmtId="3" fontId="7" fillId="0" borderId="5" xfId="0" applyNumberFormat="1" applyFont="1" applyBorder="1"/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1" fontId="7" fillId="0" borderId="7" xfId="0" applyNumberFormat="1" applyFont="1" applyBorder="1"/>
    <xf numFmtId="0" fontId="7" fillId="0" borderId="4" xfId="0" applyFont="1" applyBorder="1" applyAlignment="1">
      <alignment horizontal="center"/>
    </xf>
    <xf numFmtId="3" fontId="7" fillId="0" borderId="0" xfId="0" applyNumberFormat="1" applyFont="1"/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14" fontId="0" fillId="0" borderId="0" xfId="0" applyNumberFormat="1"/>
    <xf numFmtId="3" fontId="7" fillId="0" borderId="6" xfId="0" applyNumberFormat="1" applyFont="1" applyBorder="1"/>
    <xf numFmtId="0" fontId="7" fillId="0" borderId="6" xfId="0" applyFont="1" applyBorder="1" applyAlignment="1">
      <alignment horizontal="center"/>
    </xf>
    <xf numFmtId="14" fontId="8" fillId="0" borderId="6" xfId="0" applyNumberFormat="1" applyFont="1" applyBorder="1"/>
    <xf numFmtId="0" fontId="8" fillId="0" borderId="4" xfId="0" applyFont="1" applyBorder="1"/>
    <xf numFmtId="0" fontId="7" fillId="0" borderId="4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2" fillId="3" borderId="0" xfId="0" applyFont="1" applyFill="1"/>
    <xf numFmtId="165" fontId="7" fillId="0" borderId="8" xfId="0" applyNumberFormat="1" applyFont="1" applyBorder="1"/>
    <xf numFmtId="0" fontId="12" fillId="3" borderId="0" xfId="0" applyNumberFormat="1" applyFont="1" applyFill="1"/>
    <xf numFmtId="4" fontId="7" fillId="0" borderId="8" xfId="0" applyNumberFormat="1" applyFont="1" applyBorder="1"/>
    <xf numFmtId="1" fontId="7" fillId="0" borderId="8" xfId="0" applyNumberFormat="1" applyFont="1" applyBorder="1"/>
    <xf numFmtId="0" fontId="13" fillId="3" borderId="0" xfId="0" applyFont="1" applyFill="1"/>
    <xf numFmtId="0" fontId="7" fillId="0" borderId="5" xfId="0" applyNumberFormat="1" applyFont="1" applyBorder="1"/>
    <xf numFmtId="0" fontId="7" fillId="0" borderId="5" xfId="0" applyFont="1" applyBorder="1" applyAlignment="1">
      <alignment horizontal="left" indent="1"/>
    </xf>
    <xf numFmtId="0" fontId="13" fillId="3" borderId="0" xfId="0" applyFont="1" applyFill="1" applyAlignment="1">
      <alignment horizontal="left"/>
    </xf>
    <xf numFmtId="0" fontId="13" fillId="3" borderId="0" xfId="0" applyNumberFormat="1" applyFont="1" applyFill="1"/>
    <xf numFmtId="4" fontId="7" fillId="0" borderId="5" xfId="0" applyNumberFormat="1" applyFont="1" applyBorder="1"/>
    <xf numFmtId="4" fontId="13" fillId="3" borderId="0" xfId="0" applyNumberFormat="1" applyFont="1" applyFill="1"/>
    <xf numFmtId="0" fontId="7" fillId="0" borderId="9" xfId="0" applyFont="1" applyBorder="1" applyAlignment="1">
      <alignment horizontal="left"/>
    </xf>
    <xf numFmtId="0" fontId="7" fillId="0" borderId="9" xfId="0" applyFont="1" applyBorder="1" applyAlignment="1">
      <alignment horizontal="left" indent="1"/>
    </xf>
    <xf numFmtId="4" fontId="7" fillId="0" borderId="9" xfId="0" applyNumberFormat="1" applyFont="1" applyBorder="1"/>
    <xf numFmtId="0" fontId="12" fillId="3" borderId="0" xfId="0" applyFont="1" applyFill="1" applyAlignment="1">
      <alignment horizontal="left"/>
    </xf>
    <xf numFmtId="4" fontId="12" fillId="3" borderId="0" xfId="0" applyNumberFormat="1" applyFont="1" applyFill="1"/>
    <xf numFmtId="0" fontId="7" fillId="0" borderId="0" xfId="0" applyNumberFormat="1" applyFont="1"/>
    <xf numFmtId="166" fontId="7" fillId="0" borderId="8" xfId="0" applyNumberFormat="1" applyFont="1" applyBorder="1"/>
    <xf numFmtId="0" fontId="11" fillId="0" borderId="0" xfId="0" applyFont="1" applyAlignment="1">
      <alignment horizontal="left"/>
    </xf>
  </cellXfs>
  <cellStyles count="3">
    <cellStyle name="Hyperlink" xfId="2" xr:uid="{A42FB29E-863B-441F-AD74-2D2BE94F1567}"/>
    <cellStyle name="Moeda" xfId="1" builtinId="4"/>
    <cellStyle name="Normal" xfId="0" builtinId="0"/>
  </cellStyles>
  <dxfs count="367">
    <dxf>
      <numFmt numFmtId="1" formatCode="0"/>
    </dxf>
    <dxf>
      <numFmt numFmtId="165" formatCode="0.0%;\-0.0%;0.0%"/>
      <fill>
        <patternFill patternType="none">
          <fgColor indexed="64"/>
          <bgColor indexed="65"/>
        </patternFill>
      </fill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numFmt numFmtId="1" formatCode="0"/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numFmt numFmtId="4" formatCode="#,##0.00"/>
    </dxf>
    <dxf>
      <numFmt numFmtId="165" formatCode="0.0%;\-0.0%;0.0%"/>
      <fill>
        <patternFill patternType="none">
          <fgColor indexed="64"/>
          <bgColor indexed="65"/>
        </patternFill>
      </fill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numFmt numFmtId="4" formatCode="#,##0.00"/>
    </dxf>
    <dxf>
      <numFmt numFmtId="0" formatCode="General"/>
    </dxf>
    <dxf>
      <numFmt numFmtId="0" formatCode="General"/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border>
        <top style="thin">
          <color theme="0" tint="-0.14993743705557422"/>
        </top>
        <bottom style="thin">
          <color theme="0" tint="-0.14993743705557422"/>
        </bottom>
        <horizontal style="thin">
          <color theme="0" tint="-0.14993743705557422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</font>
    </dxf>
    <dxf>
      <font>
        <b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font>
        <b/>
      </font>
    </dxf>
    <dxf>
      <font>
        <b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66" formatCode="0.0%"/>
    </dxf>
    <dxf>
      <numFmt numFmtId="1" formatCode="0"/>
      <fill>
        <patternFill patternType="none">
          <fgColor indexed="64"/>
          <bgColor indexed="65"/>
        </patternFill>
      </fill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border>
        <bottom style="thin">
          <color theme="0" tint="-0.14996795556505021"/>
        </bottom>
      </border>
    </dxf>
    <dxf>
      <font>
        <color theme="0"/>
      </font>
    </dxf>
    <dxf>
      <fill>
        <patternFill patternType="solid">
          <bgColor rgb="FFFF0000"/>
        </patternFill>
      </fill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7030A0"/>
        </patternFill>
      </fill>
      <alignment horizontal="left" vertical="bottom" textRotation="0" wrapText="0" indent="0" justifyLastLine="0" shrinkToFit="0" readingOrder="0"/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lef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" formatCode="#,##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7" formatCode="dd/mm/yyyy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" formatCode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7" formatCode="dd/mm/yyyy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" formatCode="#,##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" formatCode="#,##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" formatCode="#,##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" formatCode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dd/mm/yyyy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dd/mm/yyyy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" formatCode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Segoe UI"/>
        <family val="2"/>
        <scheme val="none"/>
      </font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" formatCode="#,##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" formatCode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DD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55" Type="http://schemas.openxmlformats.org/officeDocument/2006/relationships/customXml" Target="../customXml/item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8" Type="http://schemas.microsoft.com/office/2017/10/relationships/person" Target="persons/person.xml"/><Relationship Id="rId5" Type="http://schemas.openxmlformats.org/officeDocument/2006/relationships/worksheet" Target="worksheets/sheet5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56" Type="http://schemas.openxmlformats.org/officeDocument/2006/relationships/customXml" Target="../customXml/item35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tyles" Target="style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57" Type="http://schemas.openxmlformats.org/officeDocument/2006/relationships/customXml" Target="../customXml/item36.xml"/><Relationship Id="rId10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Consumo &amp; Automação de Compras Fevereiro 022026 .xlsx]Análise!Tabela dinâmica8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 i="0" baseline="0">
                <a:effectLst/>
              </a:rPr>
              <a:t>Risco de Ruptura: Itens Essenciais em Alerta Crítico</a:t>
            </a:r>
            <a:endParaRPr lang="pt-BR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Análise!$D$44:$D$45</c:f>
              <c:strCache>
                <c:ptCount val="1"/>
                <c:pt idx="0">
                  <c:v>COMPRA IMEDIATA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Análise!$C$46:$C$64</c:f>
              <c:multiLvlStrCache>
                <c:ptCount val="9"/>
                <c:lvl>
                  <c:pt idx="0">
                    <c:v>340,98</c:v>
                  </c:pt>
                  <c:pt idx="1">
                    <c:v>397,44</c:v>
                  </c:pt>
                  <c:pt idx="2">
                    <c:v>1.467,98</c:v>
                  </c:pt>
                  <c:pt idx="3">
                    <c:v>1.489,02</c:v>
                  </c:pt>
                  <c:pt idx="4">
                    <c:v>5.520,00</c:v>
                  </c:pt>
                  <c:pt idx="5">
                    <c:v>451,95</c:v>
                  </c:pt>
                  <c:pt idx="6">
                    <c:v>15.029,35</c:v>
                  </c:pt>
                  <c:pt idx="7">
                    <c:v>2.691,00</c:v>
                  </c:pt>
                  <c:pt idx="8">
                    <c:v>274,28</c:v>
                  </c:pt>
                </c:lvl>
                <c:lvl>
                  <c:pt idx="0">
                    <c:v>AÇÚCAR (UNID) PACOTE 1 KG</c:v>
                  </c:pt>
                  <c:pt idx="1">
                    <c:v>ÁGUA SANITARIA SUPER CANDIDA GALÃO 5 LTS</c:v>
                  </c:pt>
                  <c:pt idx="2">
                    <c:v>DESINFETANTE FLORAL GALÃO 5 LTS</c:v>
                  </c:pt>
                  <c:pt idx="3">
                    <c:v>FOLHA DE SULFITE A4 PACOTE</c:v>
                  </c:pt>
                  <c:pt idx="4">
                    <c:v>LEITE EM PÓ 400 G (UNID)</c:v>
                  </c:pt>
                  <c:pt idx="5">
                    <c:v>PANO DE CHÃO BRANCO ALVEJADO (UNI)</c:v>
                  </c:pt>
                  <c:pt idx="6">
                    <c:v>PAPEL HIGIÊNICO ROLÃO C/ 8 BOBINAS DE 200M (CX)</c:v>
                  </c:pt>
                  <c:pt idx="7">
                    <c:v>SACO PARA LIXO PRETO 100L (PCT)</c:v>
                  </c:pt>
                  <c:pt idx="8">
                    <c:v>VEJA MULTIUSO (UNI)</c:v>
                  </c:pt>
                </c:lvl>
              </c:multiLvlStrCache>
            </c:multiLvlStrRef>
          </c:cat>
          <c:val>
            <c:numRef>
              <c:f>Análise!$D$46:$D$64</c:f>
              <c:numCache>
                <c:formatCode>General</c:formatCode>
                <c:ptCount val="9"/>
                <c:pt idx="0">
                  <c:v>20814</c:v>
                </c:pt>
                <c:pt idx="1">
                  <c:v>20847</c:v>
                </c:pt>
                <c:pt idx="2">
                  <c:v>20848</c:v>
                </c:pt>
                <c:pt idx="4">
                  <c:v>20821</c:v>
                </c:pt>
                <c:pt idx="5">
                  <c:v>20862</c:v>
                </c:pt>
                <c:pt idx="6">
                  <c:v>20812</c:v>
                </c:pt>
                <c:pt idx="8">
                  <c:v>20880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3-4554-A820-27E70FE9E050}"/>
            </c:ext>
          </c:extLst>
        </c:ser>
        <c:ser>
          <c:idx val="1"/>
          <c:order val="1"/>
          <c:tx>
            <c:strRef>
              <c:f>Análise!$E$44:$E$45</c:f>
              <c:strCache>
                <c:ptCount val="1"/>
                <c:pt idx="0">
                  <c:v>RUPTURA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Análise!$C$46:$C$64</c:f>
              <c:multiLvlStrCache>
                <c:ptCount val="9"/>
                <c:lvl>
                  <c:pt idx="0">
                    <c:v>340,98</c:v>
                  </c:pt>
                  <c:pt idx="1">
                    <c:v>397,44</c:v>
                  </c:pt>
                  <c:pt idx="2">
                    <c:v>1.467,98</c:v>
                  </c:pt>
                  <c:pt idx="3">
                    <c:v>1.489,02</c:v>
                  </c:pt>
                  <c:pt idx="4">
                    <c:v>5.520,00</c:v>
                  </c:pt>
                  <c:pt idx="5">
                    <c:v>451,95</c:v>
                  </c:pt>
                  <c:pt idx="6">
                    <c:v>15.029,35</c:v>
                  </c:pt>
                  <c:pt idx="7">
                    <c:v>2.691,00</c:v>
                  </c:pt>
                  <c:pt idx="8">
                    <c:v>274,28</c:v>
                  </c:pt>
                </c:lvl>
                <c:lvl>
                  <c:pt idx="0">
                    <c:v>AÇÚCAR (UNID) PACOTE 1 KG</c:v>
                  </c:pt>
                  <c:pt idx="1">
                    <c:v>ÁGUA SANITARIA SUPER CANDIDA GALÃO 5 LTS</c:v>
                  </c:pt>
                  <c:pt idx="2">
                    <c:v>DESINFETANTE FLORAL GALÃO 5 LTS</c:v>
                  </c:pt>
                  <c:pt idx="3">
                    <c:v>FOLHA DE SULFITE A4 PACOTE</c:v>
                  </c:pt>
                  <c:pt idx="4">
                    <c:v>LEITE EM PÓ 400 G (UNID)</c:v>
                  </c:pt>
                  <c:pt idx="5">
                    <c:v>PANO DE CHÃO BRANCO ALVEJADO (UNI)</c:v>
                  </c:pt>
                  <c:pt idx="6">
                    <c:v>PAPEL HIGIÊNICO ROLÃO C/ 8 BOBINAS DE 200M (CX)</c:v>
                  </c:pt>
                  <c:pt idx="7">
                    <c:v>SACO PARA LIXO PRETO 100L (PCT)</c:v>
                  </c:pt>
                  <c:pt idx="8">
                    <c:v>VEJA MULTIUSO (UNI)</c:v>
                  </c:pt>
                </c:lvl>
              </c:multiLvlStrCache>
            </c:multiLvlStrRef>
          </c:cat>
          <c:val>
            <c:numRef>
              <c:f>Análise!$E$46:$E$64</c:f>
              <c:numCache>
                <c:formatCode>General</c:formatCode>
                <c:ptCount val="9"/>
                <c:pt idx="3">
                  <c:v>20810</c:v>
                </c:pt>
                <c:pt idx="7">
                  <c:v>20876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3-4554-A820-27E70FE9E0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48782447"/>
        <c:axId val="485244559"/>
      </c:barChart>
      <c:catAx>
        <c:axId val="2048782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5244559"/>
        <c:crosses val="autoZero"/>
        <c:auto val="1"/>
        <c:lblAlgn val="ctr"/>
        <c:lblOffset val="100"/>
        <c:noMultiLvlLbl val="0"/>
      </c:catAx>
      <c:valAx>
        <c:axId val="4852445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4878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Consumo &amp; Automação de Compras Fevereiro 022026 .xlsx]Análise!Tabela dinâmica9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 i="0" baseline="0">
                <a:effectLst/>
              </a:rPr>
              <a:t>Distribuição de Capital Imobilizado (Classe C)</a:t>
            </a:r>
            <a:endParaRPr lang="pt-BR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Análise!$D$73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Análise!$C$74:$C$95</c:f>
              <c:multiLvlStrCache>
                <c:ptCount val="17"/>
                <c:lvl>
                  <c:pt idx="0">
                    <c:v>COPO DESCARTÁVEL 160ML (PCT)</c:v>
                  </c:pt>
                  <c:pt idx="1">
                    <c:v>COPO DESCARTÁVEL 80ML (PCT)</c:v>
                  </c:pt>
                  <c:pt idx="2">
                    <c:v>CAIXA TERMICA 7L (UNID)</c:v>
                  </c:pt>
                  <c:pt idx="3">
                    <c:v>Luva Com Pó M Latex (Cx)</c:v>
                  </c:pt>
                  <c:pt idx="4">
                    <c:v>LUVA COM PÓ G LATEX (CX)</c:v>
                  </c:pt>
                  <c:pt idx="5">
                    <c:v>SACO PLASTICO 10X15 (PCT)</c:v>
                  </c:pt>
                  <c:pt idx="6">
                    <c:v>ETIQUETA 50X50 PARA SACHÊ</c:v>
                  </c:pt>
                  <c:pt idx="7">
                    <c:v>SACO PARA LIXO PRETO 40L (PCT)</c:v>
                  </c:pt>
                  <c:pt idx="8">
                    <c:v>SACO PARA LIXO BRANCO 20L (PCT)</c:v>
                  </c:pt>
                  <c:pt idx="9">
                    <c:v>SABÃO EM PEDRA (UNI)</c:v>
                  </c:pt>
                  <c:pt idx="10">
                    <c:v>SAPOLIO CREMOSO MULTIUSO (UNI)</c:v>
                  </c:pt>
                  <c:pt idx="11">
                    <c:v>SACO PARA LIXO BRANCO 40L (PCT)</c:v>
                  </c:pt>
                  <c:pt idx="12">
                    <c:v>LUVA AZUL TAM: G (PARES)</c:v>
                  </c:pt>
                  <c:pt idx="13">
                    <c:v>LUVA AMARELA TAM: G (PARES)</c:v>
                  </c:pt>
                  <c:pt idx="14">
                    <c:v>Luva Azul Tam: GG (PARES)</c:v>
                  </c:pt>
                  <c:pt idx="15">
                    <c:v>LUVA AMARELA TAM: GG (PARES)</c:v>
                  </c:pt>
                  <c:pt idx="16">
                    <c:v>PANO MULTIUSO AMARELO PCT- 2 UNIDADES (PCT)</c:v>
                  </c:pt>
                </c:lvl>
                <c:lvl>
                  <c:pt idx="0">
                    <c:v>Copa</c:v>
                  </c:pt>
                  <c:pt idx="2">
                    <c:v>Expedição</c:v>
                  </c:pt>
                  <c:pt idx="3">
                    <c:v>Farmácia/Produção</c:v>
                  </c:pt>
                  <c:pt idx="7">
                    <c:v>Limpeza</c:v>
                  </c:pt>
                </c:lvl>
              </c:multiLvlStrCache>
            </c:multiLvlStrRef>
          </c:cat>
          <c:val>
            <c:numRef>
              <c:f>Análise!$D$74:$D$95</c:f>
              <c:numCache>
                <c:formatCode>#,##0.00</c:formatCode>
                <c:ptCount val="17"/>
                <c:pt idx="0">
                  <c:v>499.67499999999995</c:v>
                </c:pt>
                <c:pt idx="1">
                  <c:v>149.70000000000002</c:v>
                </c:pt>
                <c:pt idx="2">
                  <c:v>2176.3749999999995</c:v>
                </c:pt>
                <c:pt idx="3">
                  <c:v>4668.9999999999991</c:v>
                </c:pt>
                <c:pt idx="4">
                  <c:v>4001.9999999999991</c:v>
                </c:pt>
                <c:pt idx="5">
                  <c:v>2173.5</c:v>
                </c:pt>
                <c:pt idx="6">
                  <c:v>1857.0000000000002</c:v>
                </c:pt>
                <c:pt idx="7">
                  <c:v>862.5</c:v>
                </c:pt>
                <c:pt idx="8">
                  <c:v>505.99999999999994</c:v>
                </c:pt>
                <c:pt idx="9">
                  <c:v>355.92500000000001</c:v>
                </c:pt>
                <c:pt idx="10">
                  <c:v>299.69</c:v>
                </c:pt>
                <c:pt idx="11">
                  <c:v>241.5</c:v>
                </c:pt>
                <c:pt idx="12">
                  <c:v>223.56</c:v>
                </c:pt>
                <c:pt idx="13">
                  <c:v>168.35999999999996</c:v>
                </c:pt>
                <c:pt idx="14">
                  <c:v>149.04</c:v>
                </c:pt>
                <c:pt idx="15">
                  <c:v>132.20399999999998</c:v>
                </c:pt>
                <c:pt idx="16">
                  <c:v>121.99199999999999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3-4EAA-A387-C86E94D10E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0953135"/>
        <c:axId val="560952303"/>
      </c:barChart>
      <c:catAx>
        <c:axId val="56095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952303"/>
        <c:crosses val="autoZero"/>
        <c:auto val="1"/>
        <c:lblAlgn val="ctr"/>
        <c:lblOffset val="100"/>
        <c:noMultiLvlLbl val="0"/>
      </c:catAx>
      <c:valAx>
        <c:axId val="56095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95313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Consumo &amp; Automação de Compras Fevereiro 022026 .xlsx]Análise!Tabela dinâmica10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100" b="1" i="0" baseline="0">
                <a:effectLst/>
              </a:rPr>
              <a:t>Composição de Gastos por Centro de Custo</a:t>
            </a:r>
            <a:endParaRPr lang="pt-BR" sz="1100">
              <a:effectLst/>
            </a:endParaRPr>
          </a:p>
        </c:rich>
      </c:tx>
      <c:layout>
        <c:manualLayout>
          <c:xMode val="edge"/>
          <c:yMode val="edge"/>
          <c:x val="0.25652857828746045"/>
          <c:y val="9.461856301968810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Análise!$D$103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Análise!$C$104:$C$146</c:f>
              <c:multiLvlStrCache>
                <c:ptCount val="21"/>
                <c:lvl>
                  <c:pt idx="0">
                    <c:v>CD Logística - Regional ABC</c:v>
                  </c:pt>
                  <c:pt idx="1">
                    <c:v>Planta Industrial - Suprimentos</c:v>
                  </c:pt>
                  <c:pt idx="2">
                    <c:v>CD Logística - Regional ABC</c:v>
                  </c:pt>
                  <c:pt idx="3">
                    <c:v>Planta Industrial - Suprimentos</c:v>
                  </c:pt>
                  <c:pt idx="4">
                    <c:v>Escritório Apoio - Gestão</c:v>
                  </c:pt>
                  <c:pt idx="5">
                    <c:v>Escritório Central - Sede</c:v>
                  </c:pt>
                  <c:pt idx="6">
                    <c:v>Farmácia Satélite - Unidade 03</c:v>
                  </c:pt>
                  <c:pt idx="7">
                    <c:v>Farmácia Principal - Unidade 01</c:v>
                  </c:pt>
                  <c:pt idx="8">
                    <c:v>Farmácia Satélite - Unidade 02</c:v>
                  </c:pt>
                  <c:pt idx="9">
                    <c:v>Farmácia Principal - Unidade 01</c:v>
                  </c:pt>
                  <c:pt idx="10">
                    <c:v>CD Logística - Regional ABC</c:v>
                  </c:pt>
                  <c:pt idx="11">
                    <c:v>Farmácia Satélite - Unidade 05</c:v>
                  </c:pt>
                  <c:pt idx="12">
                    <c:v>Farmácia Principal - Unidade 01</c:v>
                  </c:pt>
                  <c:pt idx="13">
                    <c:v>Farmácia Satélite - Unidade 05</c:v>
                  </c:pt>
                  <c:pt idx="14">
                    <c:v>Almoxarifado Central</c:v>
                  </c:pt>
                  <c:pt idx="15">
                    <c:v>Farmácia Satélite - Unidade 03</c:v>
                  </c:pt>
                  <c:pt idx="16">
                    <c:v>Almoxarifado Central</c:v>
                  </c:pt>
                  <c:pt idx="17">
                    <c:v>Farmácia Satélite - Unidade 04</c:v>
                  </c:pt>
                  <c:pt idx="18">
                    <c:v>Farmácia Satélite - Unidade 03</c:v>
                  </c:pt>
                  <c:pt idx="19">
                    <c:v>Centro de Distribuição - Áragon</c:v>
                  </c:pt>
                  <c:pt idx="20">
                    <c:v>Farmácia Satélite - Unidade 04</c:v>
                  </c:pt>
                </c:lvl>
                <c:lvl>
                  <c:pt idx="0">
                    <c:v>Conferente de Carga</c:v>
                  </c:pt>
                  <c:pt idx="1">
                    <c:v>Auxiliar Operacional 02</c:v>
                  </c:pt>
                  <c:pt idx="2">
                    <c:v>Auxiliar de Recebimento</c:v>
                  </c:pt>
                  <c:pt idx="3">
                    <c:v>Almoxarife Jr</c:v>
                  </c:pt>
                  <c:pt idx="4">
                    <c:v>Analista Financeiro</c:v>
                  </c:pt>
                  <c:pt idx="5">
                    <c:v>Secretária Executiva</c:v>
                  </c:pt>
                  <c:pt idx="6">
                    <c:v>Assistente Administrativo 04</c:v>
                  </c:pt>
                  <c:pt idx="7">
                    <c:v>Gestor de Inventário</c:v>
                  </c:pt>
                  <c:pt idx="8">
                    <c:v>Farmacêutico Pleno 01</c:v>
                  </c:pt>
                  <c:pt idx="9">
                    <c:v>Assistente Administrativo 01</c:v>
                  </c:pt>
                  <c:pt idx="10">
                    <c:v>Auxiliar Operacional 01</c:v>
                  </c:pt>
                  <c:pt idx="11">
                    <c:v>Assistente Administrativo 03</c:v>
                  </c:pt>
                  <c:pt idx="12">
                    <c:v>Assistente Administrativo 02</c:v>
                  </c:pt>
                  <c:pt idx="13">
                    <c:v>Farmacêutico Pleno 04</c:v>
                  </c:pt>
                  <c:pt idx="14">
                    <c:v>Líder de Equipe 03</c:v>
                  </c:pt>
                  <c:pt idx="15">
                    <c:v>Farmacêutico Pleno 05</c:v>
                  </c:pt>
                  <c:pt idx="16">
                    <c:v>Auxiliar Operacional 03</c:v>
                  </c:pt>
                  <c:pt idx="17">
                    <c:v>Farmacêutico Pleno 03</c:v>
                  </c:pt>
                  <c:pt idx="18">
                    <c:v>Farmacêutico Pleno 02</c:v>
                  </c:pt>
                  <c:pt idx="19">
                    <c:v>Líder de Equipe 02</c:v>
                  </c:pt>
                  <c:pt idx="20">
                    <c:v>Líder de Equipe 01</c:v>
                  </c:pt>
                </c:lvl>
              </c:multiLvlStrCache>
            </c:multiLvlStrRef>
          </c:cat>
          <c:val>
            <c:numRef>
              <c:f>Análise!$D$104:$D$146</c:f>
              <c:numCache>
                <c:formatCode>#,##0.00</c:formatCode>
                <c:ptCount val="21"/>
                <c:pt idx="0">
                  <c:v>9568.9199999999983</c:v>
                </c:pt>
                <c:pt idx="1">
                  <c:v>9147.0195000000003</c:v>
                </c:pt>
                <c:pt idx="2">
                  <c:v>8570.5360000000001</c:v>
                </c:pt>
                <c:pt idx="3">
                  <c:v>8286.9575000000004</c:v>
                </c:pt>
                <c:pt idx="4">
                  <c:v>6184.4744999999994</c:v>
                </c:pt>
                <c:pt idx="5">
                  <c:v>5563.5274999999965</c:v>
                </c:pt>
                <c:pt idx="6">
                  <c:v>5531.2430000000004</c:v>
                </c:pt>
                <c:pt idx="7">
                  <c:v>4475.3514999999989</c:v>
                </c:pt>
                <c:pt idx="8">
                  <c:v>4427.8864999999987</c:v>
                </c:pt>
                <c:pt idx="9">
                  <c:v>4355.8434999999999</c:v>
                </c:pt>
                <c:pt idx="10">
                  <c:v>3692.1324999999997</c:v>
                </c:pt>
                <c:pt idx="11">
                  <c:v>2939.2850000000003</c:v>
                </c:pt>
                <c:pt idx="12">
                  <c:v>1953.7465000000002</c:v>
                </c:pt>
                <c:pt idx="13">
                  <c:v>1696.135</c:v>
                </c:pt>
                <c:pt idx="14">
                  <c:v>838.78699999999992</c:v>
                </c:pt>
                <c:pt idx="15">
                  <c:v>793.71849999999984</c:v>
                </c:pt>
                <c:pt idx="16">
                  <c:v>705.23749999999995</c:v>
                </c:pt>
                <c:pt idx="17">
                  <c:v>704.58200000000011</c:v>
                </c:pt>
                <c:pt idx="18">
                  <c:v>635.89250000000004</c:v>
                </c:pt>
                <c:pt idx="19">
                  <c:v>516.47649999999999</c:v>
                </c:pt>
                <c:pt idx="20">
                  <c:v>443.95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8-48A6-A696-0F329BE870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798383"/>
        <c:axId val="172794639"/>
      </c:barChart>
      <c:catAx>
        <c:axId val="172798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794639"/>
        <c:crosses val="autoZero"/>
        <c:auto val="1"/>
        <c:lblAlgn val="ctr"/>
        <c:lblOffset val="100"/>
        <c:noMultiLvlLbl val="0"/>
      </c:catAx>
      <c:valAx>
        <c:axId val="17279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79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10885</xdr:colOff>
      <xdr:row>0</xdr:row>
      <xdr:rowOff>161925</xdr:rowOff>
    </xdr:from>
    <xdr:to>
      <xdr:col>13</xdr:col>
      <xdr:colOff>190500</xdr:colOff>
      <xdr:row>2</xdr:row>
      <xdr:rowOff>9525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338017A9-4376-48A1-F046-19ADB60090FE}"/>
            </a:ext>
          </a:extLst>
        </xdr:cNvPr>
        <xdr:cNvSpPr txBox="1"/>
      </xdr:nvSpPr>
      <xdr:spPr>
        <a:xfrm>
          <a:off x="326571" y="161925"/>
          <a:ext cx="23289986" cy="511629"/>
        </a:xfrm>
        <a:prstGeom prst="rect">
          <a:avLst/>
        </a:prstGeom>
        <a:gradFill>
          <a:gsLst>
            <a:gs pos="0">
              <a:schemeClr val="accent1">
                <a:lumMod val="0"/>
                <a:lumOff val="100000"/>
              </a:schemeClr>
            </a:gs>
            <a:gs pos="83000">
              <a:srgbClr val="FF0000"/>
            </a:gs>
          </a:gsLst>
          <a:path path="circle">
            <a:fillToRect l="100000" t="100000"/>
          </a:path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ESTOQUE</a:t>
          </a:r>
          <a:endParaRPr lang="pt-BR" sz="1100" b="1" baseline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algn="l"/>
          <a:r>
            <a:rPr lang="pt-BR" sz="1000" i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Fevereiro</a:t>
          </a:r>
          <a:endParaRPr lang="pt-BR" sz="1000" i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0</xdr:colOff>
      <xdr:row>2</xdr:row>
      <xdr:rowOff>28575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E4D23CF-47EC-4249-AC3A-2820D813D3C3}"/>
            </a:ext>
          </a:extLst>
        </xdr:cNvPr>
        <xdr:cNvSpPr txBox="1"/>
      </xdr:nvSpPr>
      <xdr:spPr>
        <a:xfrm>
          <a:off x="446314" y="174171"/>
          <a:ext cx="21629915" cy="496661"/>
        </a:xfrm>
        <a:prstGeom prst="rect">
          <a:avLst/>
        </a:prstGeom>
        <a:gradFill flip="none" rotWithShape="1">
          <a:gsLst>
            <a:gs pos="4000">
              <a:schemeClr val="tx1"/>
            </a:gs>
            <a:gs pos="100000">
              <a:schemeClr val="tx1">
                <a:tint val="23500"/>
                <a:satMod val="160000"/>
              </a:schemeClr>
            </a:gs>
          </a:gsLst>
          <a:lin ang="0" scaled="1"/>
          <a:tileRect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CONSUMO MENSAL</a:t>
          </a:r>
          <a:endParaRPr lang="pt-BR" sz="1100" b="1" baseline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algn="l"/>
          <a:r>
            <a:rPr lang="pt-BR" sz="1000" i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Fevereiro</a:t>
          </a:r>
          <a:endParaRPr lang="pt-BR" sz="1000" i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28575</xdr:colOff>
      <xdr:row>2</xdr:row>
      <xdr:rowOff>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C65D6C5-8E94-471F-9937-EC07D8DDD9A3}"/>
            </a:ext>
          </a:extLst>
        </xdr:cNvPr>
        <xdr:cNvSpPr txBox="1"/>
      </xdr:nvSpPr>
      <xdr:spPr>
        <a:xfrm>
          <a:off x="435429" y="174171"/>
          <a:ext cx="30584775" cy="500743"/>
        </a:xfrm>
        <a:prstGeom prst="rect">
          <a:avLst/>
        </a:prstGeom>
        <a:gradFill flip="none" rotWithShape="1">
          <a:gsLst>
            <a:gs pos="4000">
              <a:schemeClr val="bg1">
                <a:lumMod val="50000"/>
              </a:schemeClr>
            </a:gs>
            <a:gs pos="100000">
              <a:schemeClr val="tx1">
                <a:tint val="23500"/>
                <a:satMod val="160000"/>
              </a:schemeClr>
            </a:gs>
          </a:gsLst>
          <a:lin ang="0" scaled="1"/>
          <a:tileRect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SOLICITAÇÃO DE COMPRAS</a:t>
          </a:r>
        </a:p>
        <a:p>
          <a:pPr algn="l"/>
          <a:r>
            <a:rPr lang="pt-BR" sz="1000" i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Fevereiro</a:t>
          </a:r>
          <a:endParaRPr lang="pt-BR" sz="1000" i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47626</xdr:rowOff>
    </xdr:from>
    <xdr:to>
      <xdr:col>13</xdr:col>
      <xdr:colOff>190500</xdr:colOff>
      <xdr:row>4</xdr:row>
      <xdr:rowOff>66675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4BB30A3-2108-4389-954E-527188F4E729}"/>
            </a:ext>
          </a:extLst>
        </xdr:cNvPr>
        <xdr:cNvSpPr txBox="1"/>
      </xdr:nvSpPr>
      <xdr:spPr>
        <a:xfrm>
          <a:off x="390525" y="219076"/>
          <a:ext cx="17554575" cy="533399"/>
        </a:xfrm>
        <a:prstGeom prst="rect">
          <a:avLst/>
        </a:prstGeom>
        <a:gradFill>
          <a:gsLst>
            <a:gs pos="0">
              <a:schemeClr val="accent1">
                <a:lumMod val="0"/>
                <a:lumOff val="100000"/>
              </a:schemeClr>
            </a:gs>
            <a:gs pos="83000">
              <a:srgbClr val="FF0000"/>
            </a:gs>
          </a:gsLst>
          <a:path path="circle">
            <a:fillToRect l="100000" t="100000"/>
          </a:path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Análise</a:t>
          </a:r>
          <a:endParaRPr lang="pt-BR" sz="1100" b="1" baseline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algn="l"/>
          <a:r>
            <a:rPr lang="pt-BR" sz="1000" i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Fevereiro</a:t>
          </a:r>
          <a:endParaRPr lang="pt-BR" sz="1000" i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338137</xdr:colOff>
      <xdr:row>40</xdr:row>
      <xdr:rowOff>128588</xdr:rowOff>
    </xdr:from>
    <xdr:to>
      <xdr:col>8</xdr:col>
      <xdr:colOff>1143000</xdr:colOff>
      <xdr:row>64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DC0C200-F4E2-4D08-A83A-40F9865EE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223837</xdr:colOff>
      <xdr:row>69</xdr:row>
      <xdr:rowOff>128587</xdr:rowOff>
    </xdr:from>
    <xdr:to>
      <xdr:col>8</xdr:col>
      <xdr:colOff>276224</xdr:colOff>
      <xdr:row>94</xdr:row>
      <xdr:rowOff>161924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F60FD22-6034-472E-8E3C-E0452340D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757237</xdr:colOff>
      <xdr:row>100</xdr:row>
      <xdr:rowOff>23812</xdr:rowOff>
    </xdr:from>
    <xdr:to>
      <xdr:col>8</xdr:col>
      <xdr:colOff>2657474</xdr:colOff>
      <xdr:row>147</xdr:row>
      <xdr:rowOff>19050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FA389D0-14FA-453E-ACF7-D01BE7979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ao Gabriel da Silva" id="{E5DC11BD-7D1D-48FC-82A9-BA01C8887397}" userId="S::joao.silva@oficialfarma.com.br::92acc4ad-8ad0-4b35-bf54-6fab2a4fea72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ão Gabriel" refreshedDate="46127.832437731478" createdVersion="5" refreshedVersion="7" minRefreshableVersion="3" recordCount="0" supportSubquery="1" supportAdvancedDrill="1" xr:uid="{7F177A57-2FFB-4073-A246-628B1C4D469F}">
  <cacheSource type="external" connectionId="1"/>
  <cacheFields count="5">
    <cacheField name="[TBSuprimentos].[STATUS COMPRA].[STATUS COMPRA]" caption="STATUS COMPRA" numFmtId="0" hierarchy="30" level="1">
      <sharedItems count="2">
        <s v="COMPRA IMEDIATA"/>
        <s v="RUPTURA"/>
      </sharedItems>
    </cacheField>
    <cacheField name="[TBEstoque].[CURVA ABC].[CURVA ABC]" caption="CURVA ABC" numFmtId="0" hierarchy="18" level="1">
      <sharedItems containsSemiMixedTypes="0" containsNonDate="0" containsString="0"/>
    </cacheField>
    <cacheField name="[TBEstoque].[CATEGÓRIA].[CATEGÓRIA]" caption="CATEGÓRIA" numFmtId="0" hierarchy="13" level="1">
      <sharedItems count="4">
        <s v="Copa"/>
        <s v="Expedição"/>
        <s v="Farmácia/Produção"/>
        <s v="Limpeza"/>
      </sharedItems>
    </cacheField>
    <cacheField name="[TBEstoque].[DESCRIÇÃO].[DESCRIÇÃO]" caption="DESCRIÇÃO" numFmtId="0" hierarchy="14" level="1">
      <sharedItems count="17">
        <s v="COPO DESCARTÁVEL 160ML (PCT)"/>
        <s v="COPO DESCARTÁVEL 80ML (PCT)"/>
        <s v="CAIXA TERMICA 7L (UNID)"/>
        <s v="ETIQUETA 50X50 PARA SACHÊ"/>
        <s v="LUVA COM PÓ G LATEX (CX)"/>
        <s v="Luva Com Pó M Latex (Cx)"/>
        <s v="SACO PLASTICO 10X15 (PCT)"/>
        <s v="LUVA AMARELA TAM: G (PARES)"/>
        <s v="LUVA AMARELA TAM: GG (PARES)"/>
        <s v="LUVA AZUL TAM: G (PARES)"/>
        <s v="Luva Azul Tam: GG (PARES)"/>
        <s v="PANO MULTIUSO AMARELO PCT- 2 UNIDADES (PCT)"/>
        <s v="SABÃO EM PEDRA (UNI)"/>
        <s v="SACO PARA LIXO BRANCO 20L (PCT)"/>
        <s v="SACO PARA LIXO BRANCO 40L (PCT)"/>
        <s v="SACO PARA LIXO PRETO 40L (PCT)"/>
        <s v="SAPOLIO CREMOSO MULTIUSO (UNI)"/>
      </sharedItems>
    </cacheField>
    <cacheField name="[Measures].[Soma de VALOR TOTAL (R$)]" caption="Soma de VALOR TOTAL (R$)" numFmtId="0" hierarchy="49" level="32767"/>
  </cacheFields>
  <cacheHierarchies count="64">
    <cacheHierarchy uniqueName="[TBConsumo].[ID PEDIDO]" caption="ID PEDIDO" attribute="1" defaultMemberUniqueName="[TBConsumo].[ID PEDIDO].[All]" allUniqueName="[TBConsumo].[ID PEDIDO].[All]" dimensionUniqueName="[TBConsumo]" displayFolder="" count="0" memberValueDatatype="130" unbalanced="0"/>
    <cacheHierarchy uniqueName="[TBConsumo].[SKU]" caption="SKU" attribute="1" defaultMemberUniqueName="[TBConsumo].[SKU].[All]" allUniqueName="[TBConsumo].[SKU].[All]" dimensionUniqueName="[TBConsumo]" displayFolder="" count="0" memberValueDatatype="20" unbalanced="0"/>
    <cacheHierarchy uniqueName="[TBConsumo].[CATEGÓRIA]" caption="CATEGÓRIA" attribute="1" defaultMemberUniqueName="[TBConsumo].[CATEGÓRIA].[All]" allUniqueName="[TBConsumo].[CATEGÓRIA].[All]" dimensionUniqueName="[TBConsumo]" displayFolder="" count="0" memberValueDatatype="130" unbalanced="0"/>
    <cacheHierarchy uniqueName="[TBConsumo].[DESCRIÇÃO]" caption="DESCRIÇÃO" attribute="1" defaultMemberUniqueName="[TBConsumo].[DESCRIÇÃO].[All]" allUniqueName="[TBConsumo].[DESCRIÇÃO].[All]" dimensionUniqueName="[TBConsumo]" displayFolder="" count="0" memberValueDatatype="130" unbalanced="0"/>
    <cacheHierarchy uniqueName="[TBConsumo].[QTDE SOLICITADA]" caption="QTDE SOLICITADA" attribute="1" defaultMemberUniqueName="[TBConsumo].[QTDE SOLICITADA].[All]" allUniqueName="[TBConsumo].[QTDE SOLICITADA].[All]" dimensionUniqueName="[TBConsumo]" displayFolder="" count="0" memberValueDatatype="20" unbalanced="0"/>
    <cacheHierarchy uniqueName="[TBConsumo].[UNID. MEDIDA]" caption="UNID. MEDIDA" attribute="1" defaultMemberUniqueName="[TBConsumo].[UNID. MEDIDA].[All]" allUniqueName="[TBConsumo].[UNID. MEDIDA].[All]" dimensionUniqueName="[TBConsumo]" displayFolder="" count="0" memberValueDatatype="130" unbalanced="0"/>
    <cacheHierarchy uniqueName="[TBConsumo].[UNID. DESTINO]" caption="UNID. DESTINO" attribute="1" defaultMemberUniqueName="[TBConsumo].[UNID. DESTINO].[All]" allUniqueName="[TBConsumo].[UNID. DESTINO].[All]" dimensionUniqueName="[TBConsumo]" displayFolder="" count="0" memberValueDatatype="130" unbalanced="0"/>
    <cacheHierarchy uniqueName="[TBConsumo].[SOLICITANTE]" caption="SOLICITANTE" attribute="1" defaultMemberUniqueName="[TBConsumo].[SOLICITANTE].[All]" allUniqueName="[TBConsumo].[SOLICITANTE].[All]" dimensionUniqueName="[TBConsumo]" displayFolder="" count="0" memberValueDatatype="130" unbalanced="0"/>
    <cacheHierarchy uniqueName="[TBConsumo].[DATA SOLICITADA]" caption="DATA SOLICITADA" attribute="1" time="1" defaultMemberUniqueName="[TBConsumo].[DATA SOLICITADA].[All]" allUniqueName="[TBConsumo].[DATA SOLICITADA].[All]" dimensionUniqueName="[TBConsumo]" displayFolder="" count="0" memberValueDatatype="7" unbalanced="0"/>
    <cacheHierarchy uniqueName="[TBConsumo].[DATA MOVIMENTADA]" caption="DATA MOVIMENTADA" attribute="1" time="1" defaultMemberUniqueName="[TBConsumo].[DATA MOVIMENTADA].[All]" allUniqueName="[TBConsumo].[DATA MOVIMENTADA].[All]" dimensionUniqueName="[TBConsumo]" displayFolder="" count="0" memberValueDatatype="7" unbalanced="0"/>
    <cacheHierarchy uniqueName="[TBConsumo].[LEAD TIME (DIAS)]" caption="LEAD TIME (DIAS)" attribute="1" defaultMemberUniqueName="[TBConsumo].[LEAD TIME (DIAS)].[All]" allUniqueName="[TBConsumo].[LEAD TIME (DIAS)].[All]" dimensionUniqueName="[TBConsumo]" displayFolder="" count="0" memberValueDatatype="130" unbalanced="0"/>
    <cacheHierarchy uniqueName="[TBConsumo].[VALOR TOTAL (R$)]" caption="VALOR TOTAL (R$)" attribute="1" defaultMemberUniqueName="[TBConsumo].[VALOR TOTAL (R$)].[All]" allUniqueName="[TBConsumo].[VALOR TOTAL (R$)].[All]" dimensionUniqueName="[TBConsumo]" displayFolder="" count="0" memberValueDatatype="5" unbalanced="0"/>
    <cacheHierarchy uniqueName="[TBEstoque].[SKU]" caption="SKU" attribute="1" defaultMemberUniqueName="[TBEstoque].[SKU].[All]" allUniqueName="[TBEstoque].[SKU].[All]" dimensionUniqueName="[TBEstoque]" displayFolder="" count="0" memberValueDatatype="20" unbalanced="0"/>
    <cacheHierarchy uniqueName="[TBEstoque].[CATEGÓRIA]" caption="CATEGÓRIA" attribute="1" defaultMemberUniqueName="[TBEstoque].[CATEGÓRIA].[All]" allUniqueName="[TBEstoque].[CATEGÓRIA].[All]" dimensionUniqueName="[TBEstoque]" displayFolder="" count="2" memberValueDatatype="130" unbalanced="0">
      <fieldsUsage count="2">
        <fieldUsage x="-1"/>
        <fieldUsage x="2"/>
      </fieldsUsage>
    </cacheHierarchy>
    <cacheHierarchy uniqueName="[TBEstoque].[DESCRIÇÃO]" caption="DESCRIÇÃO" attribute="1" defaultMemberUniqueName="[TBEstoque].[DESCRIÇÃO].[All]" allUniqueName="[TBEstoque].[DESCRIÇÃO].[All]" dimensionUniqueName="[TBEstoque]" displayFolder="" count="2" memberValueDatatype="130" unbalanced="0">
      <fieldsUsage count="2">
        <fieldUsage x="-1"/>
        <fieldUsage x="3"/>
      </fieldsUsage>
    </cacheHierarchy>
    <cacheHierarchy uniqueName="[TBEstoque].[UNID. MEDIDA]" caption="UNID. MEDIDA" attribute="1" defaultMemberUniqueName="[TBEstoque].[UNID. MEDIDA].[All]" allUniqueName="[TBEstoque].[UNID. MEDIDA].[All]" dimensionUniqueName="[TBEstoque]" displayFolder="" count="0" memberValueDatatype="130" unbalanced="0"/>
    <cacheHierarchy uniqueName="[TBEstoque].[ESTOQUE ATUAL]" caption="ESTOQUE ATUAL" attribute="1" defaultMemberUniqueName="[TBEstoque].[ESTOQUE ATUAL].[All]" allUniqueName="[TBEstoque].[ESTOQUE ATUAL].[All]" dimensionUniqueName="[TBEstoque]" displayFolder="" count="0" memberValueDatatype="20" unbalanced="0"/>
    <cacheHierarchy uniqueName="[TBEstoque].[CONSUMO MÉDIO MENSAL]" caption="CONSUMO MÉDIO MENSAL" attribute="1" defaultMemberUniqueName="[TBEstoque].[CONSUMO MÉDIO MENSAL].[All]" allUniqueName="[TBEstoque].[CONSUMO MÉDIO MENSAL].[All]" dimensionUniqueName="[TBEstoque]" displayFolder="" count="0" memberValueDatatype="20" unbalanced="0"/>
    <cacheHierarchy uniqueName="[TBEstoque].[CURVA ABC]" caption="CURVA ABC" attribute="1" defaultMemberUniqueName="[TBEstoque].[CURVA ABC].[All]" allUniqueName="[TBEstoque].[CURVA ABC].[All]" dimensionUniqueName="[TBEstoque]" displayFolder="" count="2" memberValueDatatype="130" unbalanced="0">
      <fieldsUsage count="2">
        <fieldUsage x="-1"/>
        <fieldUsage x="1"/>
      </fieldsUsage>
    </cacheHierarchy>
    <cacheHierarchy uniqueName="[TBEstoque].[ITEM ESSENCIAL]" caption="ITEM ESSENCIAL" attribute="1" defaultMemberUniqueName="[TBEstoque].[ITEM ESSENCIAL].[All]" allUniqueName="[TBEstoque].[ITEM ESSENCIAL].[All]" dimensionUniqueName="[TBEstoque]" displayFolder="" count="0" memberValueDatatype="130" unbalanced="0"/>
    <cacheHierarchy uniqueName="[TBEstoque].[VALOR UNIT. (R$)]" caption="VALOR UNIT. (R$)" attribute="1" defaultMemberUniqueName="[TBEstoque].[VALOR UNIT. (R$)].[All]" allUniqueName="[TBEstoque].[VALOR UNIT. (R$)].[All]" dimensionUniqueName="[TBEstoque]" displayFolder="" count="0" memberValueDatatype="5" unbalanced="0"/>
    <cacheHierarchy uniqueName="[TBEstoque].[VALOR TOTAL (R$)]" caption="VALOR TOTAL (R$)" attribute="1" defaultMemberUniqueName="[TBEstoque].[VALOR TOTAL (R$)].[All]" allUniqueName="[TBEstoque].[VALOR TOTAL (R$)].[All]" dimensionUniqueName="[TBEstoque]" displayFolder="" count="0" memberValueDatatype="5" unbalanced="0"/>
    <cacheHierarchy uniqueName="[TBEstoque].[NF-e]" caption="NF-e" attribute="1" defaultMemberUniqueName="[TBEstoque].[NF-e].[All]" allUniqueName="[TBEstoque].[NF-e].[All]" dimensionUniqueName="[TBEstoque]" displayFolder="" count="0" memberValueDatatype="20" unbalanced="0"/>
    <cacheHierarchy uniqueName="[TBEstoque].[FORNECEDOR]" caption="FORNECEDOR" attribute="1" defaultMemberUniqueName="[TBEstoque].[FORNECEDOR].[All]" allUniqueName="[TBEstoque].[FORNECEDOR].[All]" dimensionUniqueName="[TBEstoque]" displayFolder="" count="0" memberValueDatatype="130" unbalanced="0"/>
    <cacheHierarchy uniqueName="[TBSuprimentos].[SKU]" caption="SKU" attribute="1" defaultMemberUniqueName="[TBSuprimentos].[SKU].[All]" allUniqueName="[TBSuprimentos].[SKU].[All]" dimensionUniqueName="[TBSuprimentos]" displayFolder="" count="0" memberValueDatatype="20" unbalanced="0"/>
    <cacheHierarchy uniqueName="[TBSuprimentos].[CATEGÓRIA]" caption="CATEGÓRIA" attribute="1" defaultMemberUniqueName="[TBSuprimentos].[CATEGÓRIA].[All]" allUniqueName="[TBSuprimentos].[CATEGÓRIA].[All]" dimensionUniqueName="[TBSuprimentos]" displayFolder="" count="0" memberValueDatatype="130" unbalanced="0"/>
    <cacheHierarchy uniqueName="[TBSuprimentos].[DESCRIÇÃO]" caption="DESCRIÇÃO" attribute="1" defaultMemberUniqueName="[TBSuprimentos].[DESCRIÇÃO].[All]" allUniqueName="[TBSuprimentos].[DESCRIÇÃO].[All]" dimensionUniqueName="[TBSuprimentos]" displayFolder="" count="0" memberValueDatatype="130" unbalanced="0"/>
    <cacheHierarchy uniqueName="[TBSuprimentos].[UNID. MEDIDA]" caption="UNID. MEDIDA" attribute="1" defaultMemberUniqueName="[TBSuprimentos].[UNID. MEDIDA].[All]" allUniqueName="[TBSuprimentos].[UNID. MEDIDA].[All]" dimensionUniqueName="[TBSuprimentos]" displayFolder="" count="0" memberValueDatatype="130" unbalanced="0"/>
    <cacheHierarchy uniqueName="[TBSuprimentos].[ESTOQUE ATUAL]" caption="ESTOQUE ATUAL" attribute="1" defaultMemberUniqueName="[TBSuprimentos].[ESTOQUE ATUAL].[All]" allUniqueName="[TBSuprimentos].[ESTOQUE ATUAL].[All]" dimensionUniqueName="[TBSuprimentos]" displayFolder="" count="0" memberValueDatatype="20" unbalanced="0"/>
    <cacheHierarchy uniqueName="[TBSuprimentos].[MÉDIA CONSUMO]" caption="MÉDIA CONSUMO" attribute="1" defaultMemberUniqueName="[TBSuprimentos].[MÉDIA CONSUMO].[All]" allUniqueName="[TBSuprimentos].[MÉDIA CONSUMO].[All]" dimensionUniqueName="[TBSuprimentos]" displayFolder="" count="0" memberValueDatatype="20" unbalanced="0"/>
    <cacheHierarchy uniqueName="[TBSuprimentos].[STATUS COMPRA]" caption="STATUS COMPRA" attribute="1" defaultMemberUniqueName="[TBSuprimentos].[STATUS COMPRA].[All]" allUniqueName="[TBSuprimentos].[STATUS COMPRA].[All]" dimensionUniqueName="[TBSuprimentos]" displayFolder="" count="2" memberValueDatatype="130" unbalanced="0">
      <fieldsUsage count="2">
        <fieldUsage x="-1"/>
        <fieldUsage x="0"/>
      </fieldsUsage>
    </cacheHierarchy>
    <cacheHierarchy uniqueName="[TBSuprimentos].[FATOR EMBALAGEM]" caption="FATOR EMBALAGEM" attribute="1" defaultMemberUniqueName="[TBSuprimentos].[FATOR EMBALAGEM].[All]" allUniqueName="[TBSuprimentos].[FATOR EMBALAGEM].[All]" dimensionUniqueName="[TBSuprimentos]" displayFolder="" count="0" memberValueDatatype="20" unbalanced="0"/>
    <cacheHierarchy uniqueName="[TBSuprimentos].[FATOR MEDIDA]" caption="FATOR MEDIDA" attribute="1" defaultMemberUniqueName="[TBSuprimentos].[FATOR MEDIDA].[All]" allUniqueName="[TBSuprimentos].[FATOR MEDIDA].[All]" dimensionUniqueName="[TBSuprimentos]" displayFolder="" count="0" memberValueDatatype="130" unbalanced="0"/>
    <cacheHierarchy uniqueName="[TBSuprimentos].[SUGESTÃO QTDE]" caption="SUGESTÃO QTDE" attribute="1" defaultMemberUniqueName="[TBSuprimentos].[SUGESTÃO QTDE].[All]" allUniqueName="[TBSuprimentos].[SUGESTÃO QTDE].[All]" dimensionUniqueName="[TBSuprimentos]" displayFolder="" count="0" memberValueDatatype="130" unbalanced="0"/>
    <cacheHierarchy uniqueName="[TBSuprimentos].[CUSTO PEDIDO (R$)]" caption="CUSTO PEDIDO (R$)" attribute="1" defaultMemberUniqueName="[TBSuprimentos].[CUSTO PEDIDO (R$)].[All]" allUniqueName="[TBSuprimentos].[CUSTO PEDIDO (R$)].[All]" dimensionUniqueName="[TBSuprimentos]" displayFolder="" count="0" memberValueDatatype="130" unbalanced="0"/>
    <cacheHierarchy uniqueName="[TBSuprimentos].[DATA SOLICITADA]" caption="DATA SOLICITADA" attribute="1" time="1" defaultMemberUniqueName="[TBSuprimentos].[DATA SOLICITADA].[All]" allUniqueName="[TBSuprimentos].[DATA SOLICITADA].[All]" dimensionUniqueName="[TBSuprimentos]" displayFolder="" count="0" memberValueDatatype="7" unbalanced="0"/>
    <cacheHierarchy uniqueName="[TBSuprimentos].[PRAZO FORNECEDOR (DIAS)]" caption="PRAZO FORNECEDOR (DIAS)" attribute="1" defaultMemberUniqueName="[TBSuprimentos].[PRAZO FORNECEDOR (DIAS)].[All]" allUniqueName="[TBSuprimentos].[PRAZO FORNECEDOR (DIAS)].[All]" dimensionUniqueName="[TBSuprimentos]" displayFolder="" count="0" memberValueDatatype="20" unbalanced="0"/>
    <cacheHierarchy uniqueName="[TBSuprimentos].[LEAD TIME ALVO]" caption="LEAD TIME ALVO" attribute="1" defaultMemberUniqueName="[TBSuprimentos].[LEAD TIME ALVO].[All]" allUniqueName="[TBSuprimentos].[LEAD TIME ALVO].[All]" dimensionUniqueName="[TBSuprimentos]" displayFolder="" count="0" memberValueDatatype="130" unbalanced="0"/>
    <cacheHierarchy uniqueName="[TBSuprimentos].[DATA ENTREGA (REAL)]" caption="DATA ENTREGA (REAL)" attribute="1" defaultMemberUniqueName="[TBSuprimentos].[DATA ENTREGA (REAL)].[All]" allUniqueName="[TBSuprimentos].[DATA ENTREGA (REAL)].[All]" dimensionUniqueName="[TBSuprimentos]" displayFolder="" count="0" memberValueDatatype="130" unbalanced="0"/>
    <cacheHierarchy uniqueName="[TBSuprimentos].[FORNECEDOR]" caption="FORNECEDOR" attribute="1" defaultMemberUniqueName="[TBSuprimentos].[FORNECEDOR].[All]" allUniqueName="[TBSuprimentos].[FORNECEDOR].[All]" dimensionUniqueName="[TBSuprimentos]" displayFolder="" count="0" memberValueDatatype="130" unbalanced="0"/>
    <cacheHierarchy uniqueName="[Measures].[Nivel_Servico_Essenciais]" caption="Nivel_Servico_Essenciais" measure="1" displayFolder="" measureGroup="TBEstoque" count="0"/>
    <cacheHierarchy uniqueName="[Measures].[Cobertura_Estoque_Dias]" caption="Cobertura_Estoque_Dias" measure="1" displayFolder="" measureGroup="TBEstoque" count="0"/>
    <cacheHierarchy uniqueName="[Measures].[Aderencia_Consumo_Percentual]" caption="Aderencia_Consumo_Percentual" measure="1" displayFolder="" measureGroup="TBEstoque" count="0"/>
    <cacheHierarchy uniqueName="[Measures].[Capital_Imobilizado_Critico]" caption="Capital_Imobilizado_Critico" measure="1" displayFolder="" measureGroup="TBEstoque" count="0"/>
    <cacheHierarchy uniqueName="[Measures].[Saving_Estimado_Excesso]" caption="Saving_Estimado_Excesso" measure="1" displayFolder="" measureGroup="TBEstoque" count="0"/>
    <cacheHierarchy uniqueName="[Measures].[__XL_Count TBEstoque]" caption="__XL_Count TBEstoque" measure="1" displayFolder="" measureGroup="TBEstoque" count="0" hidden="1"/>
    <cacheHierarchy uniqueName="[Measures].[__XL_Count TBConsumo]" caption="__XL_Count TBConsumo" measure="1" displayFolder="" measureGroup="TBConsumo" count="0" hidden="1"/>
    <cacheHierarchy uniqueName="[Measures].[__XL_Count TBSuprimentos]" caption="__XL_Count TBSuprimentos" measure="1" displayFolder="" measureGroup="TBSuprimentos" count="0" hidden="1"/>
    <cacheHierarchy uniqueName="[Measures].[__Não há medidas definidas]" caption="__Não há medidas definidas" measure="1" displayFolder="" count="0" hidden="1"/>
    <cacheHierarchy uniqueName="[Measures].[Soma de VALOR TOTAL (R$)]" caption="Soma de VALOR TOTAL (R$)" measure="1" displayFolder="" measureGroup="TBEstoqu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SUGESTÃO QTDE]" caption="Contagem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ntagem Distinta de SUGESTÃO QTDE]" caption="Contagem Distint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SKU]" caption="Som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SKU]" caption="Contagem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SUGESTÃO QTDE]" caption="Som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VALOR TOTAL (R$) 2]" caption="Soma de VALOR TOTAL (R$) 2" measure="1" displayFolder="" measureGroup="TBConsum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SKU 2]" caption="Soma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SKU 2]" caption="Contagem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CUSTO PEDIDO (R$)]" caption="Contagem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CUSTO PEDIDO (R$)]" caption="Som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istinta de CUSTO PEDIDO (R$)]" caption="Contagem Distint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STATUS COMPRA]" caption="Contagem de STATUS COMPRA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ntagem Distinta de SKU]" caption="Contagem Distint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SKU]" caption="Máx.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4">
    <dimension measure="1" name="Measures" uniqueName="[Measures]" caption="Measures"/>
    <dimension name="TBConsumo" uniqueName="[TBConsumo]" caption="TBConsumo"/>
    <dimension name="TBEstoque" uniqueName="[TBEstoque]" caption="TBEstoque"/>
    <dimension name="TBSuprimentos" uniqueName="[TBSuprimentos]" caption="TBSuprimentos"/>
  </dimensions>
  <measureGroups count="3">
    <measureGroup name="TBConsumo" caption="TBConsumo"/>
    <measureGroup name="TBEstoque" caption="TBEstoque"/>
    <measureGroup name="TBSuprimentos" caption="TBSuprimentos"/>
  </measureGroups>
  <maps count="5">
    <map measureGroup="0" dimension="1"/>
    <map measureGroup="0" dimension="2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ão Gabriel" refreshedDate="46127.832439120371" createdVersion="5" refreshedVersion="7" minRefreshableVersion="3" recordCount="0" supportSubquery="1" supportAdvancedDrill="1" xr:uid="{BC52B7E8-969F-4466-80B3-99C8502C8D19}">
  <cacheSource type="external" connectionId="1"/>
  <cacheFields count="1">
    <cacheField name="[Measures].[Aderencia_Consumo_Percentual]" caption="Aderencia_Consumo_Percentual" numFmtId="0" hierarchy="42" level="32767"/>
  </cacheFields>
  <cacheHierarchies count="64">
    <cacheHierarchy uniqueName="[TBConsumo].[ID PEDIDO]" caption="ID PEDIDO" attribute="1" defaultMemberUniqueName="[TBConsumo].[ID PEDIDO].[All]" allUniqueName="[TBConsumo].[ID PEDIDO].[All]" dimensionUniqueName="[TBConsumo]" displayFolder="" count="0" memberValueDatatype="130" unbalanced="0"/>
    <cacheHierarchy uniqueName="[TBConsumo].[SKU]" caption="SKU" attribute="1" defaultMemberUniqueName="[TBConsumo].[SKU].[All]" allUniqueName="[TBConsumo].[SKU].[All]" dimensionUniqueName="[TBConsumo]" displayFolder="" count="0" memberValueDatatype="20" unbalanced="0"/>
    <cacheHierarchy uniqueName="[TBConsumo].[CATEGÓRIA]" caption="CATEGÓRIA" attribute="1" defaultMemberUniqueName="[TBConsumo].[CATEGÓRIA].[All]" allUniqueName="[TBConsumo].[CATEGÓRIA].[All]" dimensionUniqueName="[TBConsumo]" displayFolder="" count="0" memberValueDatatype="130" unbalanced="0"/>
    <cacheHierarchy uniqueName="[TBConsumo].[DESCRIÇÃO]" caption="DESCRIÇÃO" attribute="1" defaultMemberUniqueName="[TBConsumo].[DESCRIÇÃO].[All]" allUniqueName="[TBConsumo].[DESCRIÇÃO].[All]" dimensionUniqueName="[TBConsumo]" displayFolder="" count="0" memberValueDatatype="130" unbalanced="0"/>
    <cacheHierarchy uniqueName="[TBConsumo].[QTDE SOLICITADA]" caption="QTDE SOLICITADA" attribute="1" defaultMemberUniqueName="[TBConsumo].[QTDE SOLICITADA].[All]" allUniqueName="[TBConsumo].[QTDE SOLICITADA].[All]" dimensionUniqueName="[TBConsumo]" displayFolder="" count="0" memberValueDatatype="20" unbalanced="0"/>
    <cacheHierarchy uniqueName="[TBConsumo].[UNID. MEDIDA]" caption="UNID. MEDIDA" attribute="1" defaultMemberUniqueName="[TBConsumo].[UNID. MEDIDA].[All]" allUniqueName="[TBConsumo].[UNID. MEDIDA].[All]" dimensionUniqueName="[TBConsumo]" displayFolder="" count="0" memberValueDatatype="130" unbalanced="0"/>
    <cacheHierarchy uniqueName="[TBConsumo].[UNID. DESTINO]" caption="UNID. DESTINO" attribute="1" defaultMemberUniqueName="[TBConsumo].[UNID. DESTINO].[All]" allUniqueName="[TBConsumo].[UNID. DESTINO].[All]" dimensionUniqueName="[TBConsumo]" displayFolder="" count="0" memberValueDatatype="130" unbalanced="0"/>
    <cacheHierarchy uniqueName="[TBConsumo].[SOLICITANTE]" caption="SOLICITANTE" attribute="1" defaultMemberUniqueName="[TBConsumo].[SOLICITANTE].[All]" allUniqueName="[TBConsumo].[SOLICITANTE].[All]" dimensionUniqueName="[TBConsumo]" displayFolder="" count="0" memberValueDatatype="130" unbalanced="0"/>
    <cacheHierarchy uniqueName="[TBConsumo].[DATA SOLICITADA]" caption="DATA SOLICITADA" attribute="1" time="1" defaultMemberUniqueName="[TBConsumo].[DATA SOLICITADA].[All]" allUniqueName="[TBConsumo].[DATA SOLICITADA].[All]" dimensionUniqueName="[TBConsumo]" displayFolder="" count="0" memberValueDatatype="7" unbalanced="0"/>
    <cacheHierarchy uniqueName="[TBConsumo].[DATA MOVIMENTADA]" caption="DATA MOVIMENTADA" attribute="1" time="1" defaultMemberUniqueName="[TBConsumo].[DATA MOVIMENTADA].[All]" allUniqueName="[TBConsumo].[DATA MOVIMENTADA].[All]" dimensionUniqueName="[TBConsumo]" displayFolder="" count="0" memberValueDatatype="7" unbalanced="0"/>
    <cacheHierarchy uniqueName="[TBConsumo].[LEAD TIME (DIAS)]" caption="LEAD TIME (DIAS)" attribute="1" defaultMemberUniqueName="[TBConsumo].[LEAD TIME (DIAS)].[All]" allUniqueName="[TBConsumo].[LEAD TIME (DIAS)].[All]" dimensionUniqueName="[TBConsumo]" displayFolder="" count="0" memberValueDatatype="130" unbalanced="0"/>
    <cacheHierarchy uniqueName="[TBConsumo].[VALOR TOTAL (R$)]" caption="VALOR TOTAL (R$)" attribute="1" defaultMemberUniqueName="[TBConsumo].[VALOR TOTAL (R$)].[All]" allUniqueName="[TBConsumo].[VALOR TOTAL (R$)].[All]" dimensionUniqueName="[TBConsumo]" displayFolder="" count="0" memberValueDatatype="5" unbalanced="0"/>
    <cacheHierarchy uniqueName="[TBEstoque].[SKU]" caption="SKU" attribute="1" defaultMemberUniqueName="[TBEstoque].[SKU].[All]" allUniqueName="[TBEstoque].[SKU].[All]" dimensionUniqueName="[TBEstoque]" displayFolder="" count="0" memberValueDatatype="20" unbalanced="0"/>
    <cacheHierarchy uniqueName="[TBEstoque].[CATEGÓRIA]" caption="CATEGÓRIA" attribute="1" defaultMemberUniqueName="[TBEstoque].[CATEGÓRIA].[All]" allUniqueName="[TBEstoque].[CATEGÓRIA].[All]" dimensionUniqueName="[TBEstoque]" displayFolder="" count="0" memberValueDatatype="130" unbalanced="0"/>
    <cacheHierarchy uniqueName="[TBEstoque].[DESCRIÇÃO]" caption="DESCRIÇÃO" attribute="1" defaultMemberUniqueName="[TBEstoque].[DESCRIÇÃO].[All]" allUniqueName="[TBEstoque].[DESCRIÇÃO].[All]" dimensionUniqueName="[TBEstoque]" displayFolder="" count="0" memberValueDatatype="130" unbalanced="0"/>
    <cacheHierarchy uniqueName="[TBEstoque].[UNID. MEDIDA]" caption="UNID. MEDIDA" attribute="1" defaultMemberUniqueName="[TBEstoque].[UNID. MEDIDA].[All]" allUniqueName="[TBEstoque].[UNID. MEDIDA].[All]" dimensionUniqueName="[TBEstoque]" displayFolder="" count="0" memberValueDatatype="130" unbalanced="0"/>
    <cacheHierarchy uniqueName="[TBEstoque].[ESTOQUE ATUAL]" caption="ESTOQUE ATUAL" attribute="1" defaultMemberUniqueName="[TBEstoque].[ESTOQUE ATUAL].[All]" allUniqueName="[TBEstoque].[ESTOQUE ATUAL].[All]" dimensionUniqueName="[TBEstoque]" displayFolder="" count="0" memberValueDatatype="20" unbalanced="0"/>
    <cacheHierarchy uniqueName="[TBEstoque].[CONSUMO MÉDIO MENSAL]" caption="CONSUMO MÉDIO MENSAL" attribute="1" defaultMemberUniqueName="[TBEstoque].[CONSUMO MÉDIO MENSAL].[All]" allUniqueName="[TBEstoque].[CONSUMO MÉDIO MENSAL].[All]" dimensionUniqueName="[TBEstoque]" displayFolder="" count="0" memberValueDatatype="20" unbalanced="0"/>
    <cacheHierarchy uniqueName="[TBEstoque].[CURVA ABC]" caption="CURVA ABC" attribute="1" defaultMemberUniqueName="[TBEstoque].[CURVA ABC].[All]" allUniqueName="[TBEstoque].[CURVA ABC].[All]" dimensionUniqueName="[TBEstoque]" displayFolder="" count="0" memberValueDatatype="130" unbalanced="0"/>
    <cacheHierarchy uniqueName="[TBEstoque].[ITEM ESSENCIAL]" caption="ITEM ESSENCIAL" attribute="1" defaultMemberUniqueName="[TBEstoque].[ITEM ESSENCIAL].[All]" allUniqueName="[TBEstoque].[ITEM ESSENCIAL].[All]" dimensionUniqueName="[TBEstoque]" displayFolder="" count="0" memberValueDatatype="130" unbalanced="0"/>
    <cacheHierarchy uniqueName="[TBEstoque].[VALOR UNIT. (R$)]" caption="VALOR UNIT. (R$)" attribute="1" defaultMemberUniqueName="[TBEstoque].[VALOR UNIT. (R$)].[All]" allUniqueName="[TBEstoque].[VALOR UNIT. (R$)].[All]" dimensionUniqueName="[TBEstoque]" displayFolder="" count="0" memberValueDatatype="5" unbalanced="0"/>
    <cacheHierarchy uniqueName="[TBEstoque].[VALOR TOTAL (R$)]" caption="VALOR TOTAL (R$)" attribute="1" defaultMemberUniqueName="[TBEstoque].[VALOR TOTAL (R$)].[All]" allUniqueName="[TBEstoque].[VALOR TOTAL (R$)].[All]" dimensionUniqueName="[TBEstoque]" displayFolder="" count="0" memberValueDatatype="5" unbalanced="0"/>
    <cacheHierarchy uniqueName="[TBEstoque].[NF-e]" caption="NF-e" attribute="1" defaultMemberUniqueName="[TBEstoque].[NF-e].[All]" allUniqueName="[TBEstoque].[NF-e].[All]" dimensionUniqueName="[TBEstoque]" displayFolder="" count="0" memberValueDatatype="20" unbalanced="0"/>
    <cacheHierarchy uniqueName="[TBEstoque].[FORNECEDOR]" caption="FORNECEDOR" attribute="1" defaultMemberUniqueName="[TBEstoque].[FORNECEDOR].[All]" allUniqueName="[TBEstoque].[FORNECEDOR].[All]" dimensionUniqueName="[TBEstoque]" displayFolder="" count="0" memberValueDatatype="130" unbalanced="0"/>
    <cacheHierarchy uniqueName="[TBSuprimentos].[SKU]" caption="SKU" attribute="1" defaultMemberUniqueName="[TBSuprimentos].[SKU].[All]" allUniqueName="[TBSuprimentos].[SKU].[All]" dimensionUniqueName="[TBSuprimentos]" displayFolder="" count="0" memberValueDatatype="20" unbalanced="0"/>
    <cacheHierarchy uniqueName="[TBSuprimentos].[CATEGÓRIA]" caption="CATEGÓRIA" attribute="1" defaultMemberUniqueName="[TBSuprimentos].[CATEGÓRIA].[All]" allUniqueName="[TBSuprimentos].[CATEGÓRIA].[All]" dimensionUniqueName="[TBSuprimentos]" displayFolder="" count="0" memberValueDatatype="130" unbalanced="0"/>
    <cacheHierarchy uniqueName="[TBSuprimentos].[DESCRIÇÃO]" caption="DESCRIÇÃO" attribute="1" defaultMemberUniqueName="[TBSuprimentos].[DESCRIÇÃO].[All]" allUniqueName="[TBSuprimentos].[DESCRIÇÃO].[All]" dimensionUniqueName="[TBSuprimentos]" displayFolder="" count="0" memberValueDatatype="130" unbalanced="0"/>
    <cacheHierarchy uniqueName="[TBSuprimentos].[UNID. MEDIDA]" caption="UNID. MEDIDA" attribute="1" defaultMemberUniqueName="[TBSuprimentos].[UNID. MEDIDA].[All]" allUniqueName="[TBSuprimentos].[UNID. MEDIDA].[All]" dimensionUniqueName="[TBSuprimentos]" displayFolder="" count="0" memberValueDatatype="130" unbalanced="0"/>
    <cacheHierarchy uniqueName="[TBSuprimentos].[ESTOQUE ATUAL]" caption="ESTOQUE ATUAL" attribute="1" defaultMemberUniqueName="[TBSuprimentos].[ESTOQUE ATUAL].[All]" allUniqueName="[TBSuprimentos].[ESTOQUE ATUAL].[All]" dimensionUniqueName="[TBSuprimentos]" displayFolder="" count="0" memberValueDatatype="20" unbalanced="0"/>
    <cacheHierarchy uniqueName="[TBSuprimentos].[MÉDIA CONSUMO]" caption="MÉDIA CONSUMO" attribute="1" defaultMemberUniqueName="[TBSuprimentos].[MÉDIA CONSUMO].[All]" allUniqueName="[TBSuprimentos].[MÉDIA CONSUMO].[All]" dimensionUniqueName="[TBSuprimentos]" displayFolder="" count="0" memberValueDatatype="20" unbalanced="0"/>
    <cacheHierarchy uniqueName="[TBSuprimentos].[STATUS COMPRA]" caption="STATUS COMPRA" attribute="1" defaultMemberUniqueName="[TBSuprimentos].[STATUS COMPRA].[All]" allUniqueName="[TBSuprimentos].[STATUS COMPRA].[All]" dimensionUniqueName="[TBSuprimentos]" displayFolder="" count="0" memberValueDatatype="130" unbalanced="0"/>
    <cacheHierarchy uniqueName="[TBSuprimentos].[FATOR EMBALAGEM]" caption="FATOR EMBALAGEM" attribute="1" defaultMemberUniqueName="[TBSuprimentos].[FATOR EMBALAGEM].[All]" allUniqueName="[TBSuprimentos].[FATOR EMBALAGEM].[All]" dimensionUniqueName="[TBSuprimentos]" displayFolder="" count="0" memberValueDatatype="20" unbalanced="0"/>
    <cacheHierarchy uniqueName="[TBSuprimentos].[FATOR MEDIDA]" caption="FATOR MEDIDA" attribute="1" defaultMemberUniqueName="[TBSuprimentos].[FATOR MEDIDA].[All]" allUniqueName="[TBSuprimentos].[FATOR MEDIDA].[All]" dimensionUniqueName="[TBSuprimentos]" displayFolder="" count="0" memberValueDatatype="130" unbalanced="0"/>
    <cacheHierarchy uniqueName="[TBSuprimentos].[SUGESTÃO QTDE]" caption="SUGESTÃO QTDE" attribute="1" defaultMemberUniqueName="[TBSuprimentos].[SUGESTÃO QTDE].[All]" allUniqueName="[TBSuprimentos].[SUGESTÃO QTDE].[All]" dimensionUniqueName="[TBSuprimentos]" displayFolder="" count="0" memberValueDatatype="130" unbalanced="0"/>
    <cacheHierarchy uniqueName="[TBSuprimentos].[CUSTO PEDIDO (R$)]" caption="CUSTO PEDIDO (R$)" attribute="1" defaultMemberUniqueName="[TBSuprimentos].[CUSTO PEDIDO (R$)].[All]" allUniqueName="[TBSuprimentos].[CUSTO PEDIDO (R$)].[All]" dimensionUniqueName="[TBSuprimentos]" displayFolder="" count="0" memberValueDatatype="130" unbalanced="0"/>
    <cacheHierarchy uniqueName="[TBSuprimentos].[DATA SOLICITADA]" caption="DATA SOLICITADA" attribute="1" time="1" defaultMemberUniqueName="[TBSuprimentos].[DATA SOLICITADA].[All]" allUniqueName="[TBSuprimentos].[DATA SOLICITADA].[All]" dimensionUniqueName="[TBSuprimentos]" displayFolder="" count="0" memberValueDatatype="7" unbalanced="0"/>
    <cacheHierarchy uniqueName="[TBSuprimentos].[PRAZO FORNECEDOR (DIAS)]" caption="PRAZO FORNECEDOR (DIAS)" attribute="1" defaultMemberUniqueName="[TBSuprimentos].[PRAZO FORNECEDOR (DIAS)].[All]" allUniqueName="[TBSuprimentos].[PRAZO FORNECEDOR (DIAS)].[All]" dimensionUniqueName="[TBSuprimentos]" displayFolder="" count="0" memberValueDatatype="20" unbalanced="0"/>
    <cacheHierarchy uniqueName="[TBSuprimentos].[LEAD TIME ALVO]" caption="LEAD TIME ALVO" attribute="1" defaultMemberUniqueName="[TBSuprimentos].[LEAD TIME ALVO].[All]" allUniqueName="[TBSuprimentos].[LEAD TIME ALVO].[All]" dimensionUniqueName="[TBSuprimentos]" displayFolder="" count="0" memberValueDatatype="130" unbalanced="0"/>
    <cacheHierarchy uniqueName="[TBSuprimentos].[DATA ENTREGA (REAL)]" caption="DATA ENTREGA (REAL)" attribute="1" defaultMemberUniqueName="[TBSuprimentos].[DATA ENTREGA (REAL)].[All]" allUniqueName="[TBSuprimentos].[DATA ENTREGA (REAL)].[All]" dimensionUniqueName="[TBSuprimentos]" displayFolder="" count="0" memberValueDatatype="130" unbalanced="0"/>
    <cacheHierarchy uniqueName="[TBSuprimentos].[FORNECEDOR]" caption="FORNECEDOR" attribute="1" defaultMemberUniqueName="[TBSuprimentos].[FORNECEDOR].[All]" allUniqueName="[TBSuprimentos].[FORNECEDOR].[All]" dimensionUniqueName="[TBSuprimentos]" displayFolder="" count="0" memberValueDatatype="130" unbalanced="0"/>
    <cacheHierarchy uniqueName="[Measures].[Nivel_Servico_Essenciais]" caption="Nivel_Servico_Essenciais" measure="1" displayFolder="" measureGroup="TBEstoque" count="0"/>
    <cacheHierarchy uniqueName="[Measures].[Cobertura_Estoque_Dias]" caption="Cobertura_Estoque_Dias" measure="1" displayFolder="" measureGroup="TBEstoque" count="0"/>
    <cacheHierarchy uniqueName="[Measures].[Aderencia_Consumo_Percentual]" caption="Aderencia_Consumo_Percentual" measure="1" displayFolder="" measureGroup="TBEstoque" count="0" oneField="1">
      <fieldsUsage count="1">
        <fieldUsage x="0"/>
      </fieldsUsage>
    </cacheHierarchy>
    <cacheHierarchy uniqueName="[Measures].[Capital_Imobilizado_Critico]" caption="Capital_Imobilizado_Critico" measure="1" displayFolder="" measureGroup="TBEstoque" count="0"/>
    <cacheHierarchy uniqueName="[Measures].[Saving_Estimado_Excesso]" caption="Saving_Estimado_Excesso" measure="1" displayFolder="" measureGroup="TBEstoque" count="0"/>
    <cacheHierarchy uniqueName="[Measures].[__XL_Count TBEstoque]" caption="__XL_Count TBEstoque" measure="1" displayFolder="" measureGroup="TBEstoque" count="0" hidden="1"/>
    <cacheHierarchy uniqueName="[Measures].[__XL_Count TBConsumo]" caption="__XL_Count TBConsumo" measure="1" displayFolder="" measureGroup="TBConsumo" count="0" hidden="1"/>
    <cacheHierarchy uniqueName="[Measures].[__XL_Count TBSuprimentos]" caption="__XL_Count TBSuprimentos" measure="1" displayFolder="" measureGroup="TBSuprimentos" count="0" hidden="1"/>
    <cacheHierarchy uniqueName="[Measures].[__Não há medidas definidas]" caption="__Não há medidas definidas" measure="1" displayFolder="" count="0" hidden="1"/>
    <cacheHierarchy uniqueName="[Measures].[Soma de VALOR TOTAL (R$)]" caption="Soma de VALOR TOTAL (R$)" measure="1" displayFolder="" measureGroup="TBEstoqu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SUGESTÃO QTDE]" caption="Contagem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ntagem Distinta de SUGESTÃO QTDE]" caption="Contagem Distint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SKU]" caption="Som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SKU]" caption="Contagem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SUGESTÃO QTDE]" caption="Som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VALOR TOTAL (R$) 2]" caption="Soma de VALOR TOTAL (R$) 2" measure="1" displayFolder="" measureGroup="TBConsum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SKU 2]" caption="Soma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SKU 2]" caption="Contagem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CUSTO PEDIDO (R$)]" caption="Contagem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CUSTO PEDIDO (R$)]" caption="Som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istinta de CUSTO PEDIDO (R$)]" caption="Contagem Distint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STATUS COMPRA]" caption="Contagem de STATUS COMPRA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ntagem Distinta de SKU]" caption="Contagem Distint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SKU]" caption="Máx.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4">
    <dimension measure="1" name="Measures" uniqueName="[Measures]" caption="Measures"/>
    <dimension name="TBConsumo" uniqueName="[TBConsumo]" caption="TBConsumo"/>
    <dimension name="TBEstoque" uniqueName="[TBEstoque]" caption="TBEstoque"/>
    <dimension name="TBSuprimentos" uniqueName="[TBSuprimentos]" caption="TBSuprimentos"/>
  </dimensions>
  <measureGroups count="3">
    <measureGroup name="TBConsumo" caption="TBConsumo"/>
    <measureGroup name="TBEstoque" caption="TBEstoque"/>
    <measureGroup name="TBSuprimentos" caption="TBSuprimentos"/>
  </measureGroups>
  <maps count="5">
    <map measureGroup="0" dimension="1"/>
    <map measureGroup="0" dimension="2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ão Gabriel" refreshedDate="46127.832440393518" createdVersion="5" refreshedVersion="7" minRefreshableVersion="3" recordCount="0" supportSubquery="1" supportAdvancedDrill="1" xr:uid="{8D12F3D0-AE55-49F6-A92A-57D9DD9E9523}">
  <cacheSource type="external" connectionId="1"/>
  <cacheFields count="1">
    <cacheField name="[Measures].[Cobertura_Estoque_Dias]" caption="Cobertura_Estoque_Dias" numFmtId="0" hierarchy="41" level="32767"/>
  </cacheFields>
  <cacheHierarchies count="64">
    <cacheHierarchy uniqueName="[TBConsumo].[ID PEDIDO]" caption="ID PEDIDO" attribute="1" defaultMemberUniqueName="[TBConsumo].[ID PEDIDO].[All]" allUniqueName="[TBConsumo].[ID PEDIDO].[All]" dimensionUniqueName="[TBConsumo]" displayFolder="" count="0" memberValueDatatype="130" unbalanced="0"/>
    <cacheHierarchy uniqueName="[TBConsumo].[SKU]" caption="SKU" attribute="1" defaultMemberUniqueName="[TBConsumo].[SKU].[All]" allUniqueName="[TBConsumo].[SKU].[All]" dimensionUniqueName="[TBConsumo]" displayFolder="" count="0" memberValueDatatype="20" unbalanced="0"/>
    <cacheHierarchy uniqueName="[TBConsumo].[CATEGÓRIA]" caption="CATEGÓRIA" attribute="1" defaultMemberUniqueName="[TBConsumo].[CATEGÓRIA].[All]" allUniqueName="[TBConsumo].[CATEGÓRIA].[All]" dimensionUniqueName="[TBConsumo]" displayFolder="" count="0" memberValueDatatype="130" unbalanced="0"/>
    <cacheHierarchy uniqueName="[TBConsumo].[DESCRIÇÃO]" caption="DESCRIÇÃO" attribute="1" defaultMemberUniqueName="[TBConsumo].[DESCRIÇÃO].[All]" allUniqueName="[TBConsumo].[DESCRIÇÃO].[All]" dimensionUniqueName="[TBConsumo]" displayFolder="" count="0" memberValueDatatype="130" unbalanced="0"/>
    <cacheHierarchy uniqueName="[TBConsumo].[QTDE SOLICITADA]" caption="QTDE SOLICITADA" attribute="1" defaultMemberUniqueName="[TBConsumo].[QTDE SOLICITADA].[All]" allUniqueName="[TBConsumo].[QTDE SOLICITADA].[All]" dimensionUniqueName="[TBConsumo]" displayFolder="" count="0" memberValueDatatype="20" unbalanced="0"/>
    <cacheHierarchy uniqueName="[TBConsumo].[UNID. MEDIDA]" caption="UNID. MEDIDA" attribute="1" defaultMemberUniqueName="[TBConsumo].[UNID. MEDIDA].[All]" allUniqueName="[TBConsumo].[UNID. MEDIDA].[All]" dimensionUniqueName="[TBConsumo]" displayFolder="" count="0" memberValueDatatype="130" unbalanced="0"/>
    <cacheHierarchy uniqueName="[TBConsumo].[UNID. DESTINO]" caption="UNID. DESTINO" attribute="1" defaultMemberUniqueName="[TBConsumo].[UNID. DESTINO].[All]" allUniqueName="[TBConsumo].[UNID. DESTINO].[All]" dimensionUniqueName="[TBConsumo]" displayFolder="" count="0" memberValueDatatype="130" unbalanced="0"/>
    <cacheHierarchy uniqueName="[TBConsumo].[SOLICITANTE]" caption="SOLICITANTE" attribute="1" defaultMemberUniqueName="[TBConsumo].[SOLICITANTE].[All]" allUniqueName="[TBConsumo].[SOLICITANTE].[All]" dimensionUniqueName="[TBConsumo]" displayFolder="" count="0" memberValueDatatype="130" unbalanced="0"/>
    <cacheHierarchy uniqueName="[TBConsumo].[DATA SOLICITADA]" caption="DATA SOLICITADA" attribute="1" time="1" defaultMemberUniqueName="[TBConsumo].[DATA SOLICITADA].[All]" allUniqueName="[TBConsumo].[DATA SOLICITADA].[All]" dimensionUniqueName="[TBConsumo]" displayFolder="" count="0" memberValueDatatype="7" unbalanced="0"/>
    <cacheHierarchy uniqueName="[TBConsumo].[DATA MOVIMENTADA]" caption="DATA MOVIMENTADA" attribute="1" time="1" defaultMemberUniqueName="[TBConsumo].[DATA MOVIMENTADA].[All]" allUniqueName="[TBConsumo].[DATA MOVIMENTADA].[All]" dimensionUniqueName="[TBConsumo]" displayFolder="" count="0" memberValueDatatype="7" unbalanced="0"/>
    <cacheHierarchy uniqueName="[TBConsumo].[LEAD TIME (DIAS)]" caption="LEAD TIME (DIAS)" attribute="1" defaultMemberUniqueName="[TBConsumo].[LEAD TIME (DIAS)].[All]" allUniqueName="[TBConsumo].[LEAD TIME (DIAS)].[All]" dimensionUniqueName="[TBConsumo]" displayFolder="" count="0" memberValueDatatype="130" unbalanced="0"/>
    <cacheHierarchy uniqueName="[TBConsumo].[VALOR TOTAL (R$)]" caption="VALOR TOTAL (R$)" attribute="1" defaultMemberUniqueName="[TBConsumo].[VALOR TOTAL (R$)].[All]" allUniqueName="[TBConsumo].[VALOR TOTAL (R$)].[All]" dimensionUniqueName="[TBConsumo]" displayFolder="" count="0" memberValueDatatype="5" unbalanced="0"/>
    <cacheHierarchy uniqueName="[TBEstoque].[SKU]" caption="SKU" attribute="1" defaultMemberUniqueName="[TBEstoque].[SKU].[All]" allUniqueName="[TBEstoque].[SKU].[All]" dimensionUniqueName="[TBEstoque]" displayFolder="" count="0" memberValueDatatype="20" unbalanced="0"/>
    <cacheHierarchy uniqueName="[TBEstoque].[CATEGÓRIA]" caption="CATEGÓRIA" attribute="1" defaultMemberUniqueName="[TBEstoque].[CATEGÓRIA].[All]" allUniqueName="[TBEstoque].[CATEGÓRIA].[All]" dimensionUniqueName="[TBEstoque]" displayFolder="" count="0" memberValueDatatype="130" unbalanced="0"/>
    <cacheHierarchy uniqueName="[TBEstoque].[DESCRIÇÃO]" caption="DESCRIÇÃO" attribute="1" defaultMemberUniqueName="[TBEstoque].[DESCRIÇÃO].[All]" allUniqueName="[TBEstoque].[DESCRIÇÃO].[All]" dimensionUniqueName="[TBEstoque]" displayFolder="" count="0" memberValueDatatype="130" unbalanced="0"/>
    <cacheHierarchy uniqueName="[TBEstoque].[UNID. MEDIDA]" caption="UNID. MEDIDA" attribute="1" defaultMemberUniqueName="[TBEstoque].[UNID. MEDIDA].[All]" allUniqueName="[TBEstoque].[UNID. MEDIDA].[All]" dimensionUniqueName="[TBEstoque]" displayFolder="" count="0" memberValueDatatype="130" unbalanced="0"/>
    <cacheHierarchy uniqueName="[TBEstoque].[ESTOQUE ATUAL]" caption="ESTOQUE ATUAL" attribute="1" defaultMemberUniqueName="[TBEstoque].[ESTOQUE ATUAL].[All]" allUniqueName="[TBEstoque].[ESTOQUE ATUAL].[All]" dimensionUniqueName="[TBEstoque]" displayFolder="" count="0" memberValueDatatype="20" unbalanced="0"/>
    <cacheHierarchy uniqueName="[TBEstoque].[CONSUMO MÉDIO MENSAL]" caption="CONSUMO MÉDIO MENSAL" attribute="1" defaultMemberUniqueName="[TBEstoque].[CONSUMO MÉDIO MENSAL].[All]" allUniqueName="[TBEstoque].[CONSUMO MÉDIO MENSAL].[All]" dimensionUniqueName="[TBEstoque]" displayFolder="" count="0" memberValueDatatype="20" unbalanced="0"/>
    <cacheHierarchy uniqueName="[TBEstoque].[CURVA ABC]" caption="CURVA ABC" attribute="1" defaultMemberUniqueName="[TBEstoque].[CURVA ABC].[All]" allUniqueName="[TBEstoque].[CURVA ABC].[All]" dimensionUniqueName="[TBEstoque]" displayFolder="" count="0" memberValueDatatype="130" unbalanced="0"/>
    <cacheHierarchy uniqueName="[TBEstoque].[ITEM ESSENCIAL]" caption="ITEM ESSENCIAL" attribute="1" defaultMemberUniqueName="[TBEstoque].[ITEM ESSENCIAL].[All]" allUniqueName="[TBEstoque].[ITEM ESSENCIAL].[All]" dimensionUniqueName="[TBEstoque]" displayFolder="" count="0" memberValueDatatype="130" unbalanced="0"/>
    <cacheHierarchy uniqueName="[TBEstoque].[VALOR UNIT. (R$)]" caption="VALOR UNIT. (R$)" attribute="1" defaultMemberUniqueName="[TBEstoque].[VALOR UNIT. (R$)].[All]" allUniqueName="[TBEstoque].[VALOR UNIT. (R$)].[All]" dimensionUniqueName="[TBEstoque]" displayFolder="" count="0" memberValueDatatype="5" unbalanced="0"/>
    <cacheHierarchy uniqueName="[TBEstoque].[VALOR TOTAL (R$)]" caption="VALOR TOTAL (R$)" attribute="1" defaultMemberUniqueName="[TBEstoque].[VALOR TOTAL (R$)].[All]" allUniqueName="[TBEstoque].[VALOR TOTAL (R$)].[All]" dimensionUniqueName="[TBEstoque]" displayFolder="" count="0" memberValueDatatype="5" unbalanced="0"/>
    <cacheHierarchy uniqueName="[TBEstoque].[NF-e]" caption="NF-e" attribute="1" defaultMemberUniqueName="[TBEstoque].[NF-e].[All]" allUniqueName="[TBEstoque].[NF-e].[All]" dimensionUniqueName="[TBEstoque]" displayFolder="" count="0" memberValueDatatype="20" unbalanced="0"/>
    <cacheHierarchy uniqueName="[TBEstoque].[FORNECEDOR]" caption="FORNECEDOR" attribute="1" defaultMemberUniqueName="[TBEstoque].[FORNECEDOR].[All]" allUniqueName="[TBEstoque].[FORNECEDOR].[All]" dimensionUniqueName="[TBEstoque]" displayFolder="" count="0" memberValueDatatype="130" unbalanced="0"/>
    <cacheHierarchy uniqueName="[TBSuprimentos].[SKU]" caption="SKU" attribute="1" defaultMemberUniqueName="[TBSuprimentos].[SKU].[All]" allUniqueName="[TBSuprimentos].[SKU].[All]" dimensionUniqueName="[TBSuprimentos]" displayFolder="" count="0" memberValueDatatype="20" unbalanced="0"/>
    <cacheHierarchy uniqueName="[TBSuprimentos].[CATEGÓRIA]" caption="CATEGÓRIA" attribute="1" defaultMemberUniqueName="[TBSuprimentos].[CATEGÓRIA].[All]" allUniqueName="[TBSuprimentos].[CATEGÓRIA].[All]" dimensionUniqueName="[TBSuprimentos]" displayFolder="" count="0" memberValueDatatype="130" unbalanced="0"/>
    <cacheHierarchy uniqueName="[TBSuprimentos].[DESCRIÇÃO]" caption="DESCRIÇÃO" attribute="1" defaultMemberUniqueName="[TBSuprimentos].[DESCRIÇÃO].[All]" allUniqueName="[TBSuprimentos].[DESCRIÇÃO].[All]" dimensionUniqueName="[TBSuprimentos]" displayFolder="" count="0" memberValueDatatype="130" unbalanced="0"/>
    <cacheHierarchy uniqueName="[TBSuprimentos].[UNID. MEDIDA]" caption="UNID. MEDIDA" attribute="1" defaultMemberUniqueName="[TBSuprimentos].[UNID. MEDIDA].[All]" allUniqueName="[TBSuprimentos].[UNID. MEDIDA].[All]" dimensionUniqueName="[TBSuprimentos]" displayFolder="" count="0" memberValueDatatype="130" unbalanced="0"/>
    <cacheHierarchy uniqueName="[TBSuprimentos].[ESTOQUE ATUAL]" caption="ESTOQUE ATUAL" attribute="1" defaultMemberUniqueName="[TBSuprimentos].[ESTOQUE ATUAL].[All]" allUniqueName="[TBSuprimentos].[ESTOQUE ATUAL].[All]" dimensionUniqueName="[TBSuprimentos]" displayFolder="" count="0" memberValueDatatype="20" unbalanced="0"/>
    <cacheHierarchy uniqueName="[TBSuprimentos].[MÉDIA CONSUMO]" caption="MÉDIA CONSUMO" attribute="1" defaultMemberUniqueName="[TBSuprimentos].[MÉDIA CONSUMO].[All]" allUniqueName="[TBSuprimentos].[MÉDIA CONSUMO].[All]" dimensionUniqueName="[TBSuprimentos]" displayFolder="" count="0" memberValueDatatype="20" unbalanced="0"/>
    <cacheHierarchy uniqueName="[TBSuprimentos].[STATUS COMPRA]" caption="STATUS COMPRA" attribute="1" defaultMemberUniqueName="[TBSuprimentos].[STATUS COMPRA].[All]" allUniqueName="[TBSuprimentos].[STATUS COMPRA].[All]" dimensionUniqueName="[TBSuprimentos]" displayFolder="" count="0" memberValueDatatype="130" unbalanced="0"/>
    <cacheHierarchy uniqueName="[TBSuprimentos].[FATOR EMBALAGEM]" caption="FATOR EMBALAGEM" attribute="1" defaultMemberUniqueName="[TBSuprimentos].[FATOR EMBALAGEM].[All]" allUniqueName="[TBSuprimentos].[FATOR EMBALAGEM].[All]" dimensionUniqueName="[TBSuprimentos]" displayFolder="" count="0" memberValueDatatype="20" unbalanced="0"/>
    <cacheHierarchy uniqueName="[TBSuprimentos].[FATOR MEDIDA]" caption="FATOR MEDIDA" attribute="1" defaultMemberUniqueName="[TBSuprimentos].[FATOR MEDIDA].[All]" allUniqueName="[TBSuprimentos].[FATOR MEDIDA].[All]" dimensionUniqueName="[TBSuprimentos]" displayFolder="" count="0" memberValueDatatype="130" unbalanced="0"/>
    <cacheHierarchy uniqueName="[TBSuprimentos].[SUGESTÃO QTDE]" caption="SUGESTÃO QTDE" attribute="1" defaultMemberUniqueName="[TBSuprimentos].[SUGESTÃO QTDE].[All]" allUniqueName="[TBSuprimentos].[SUGESTÃO QTDE].[All]" dimensionUniqueName="[TBSuprimentos]" displayFolder="" count="0" memberValueDatatype="130" unbalanced="0"/>
    <cacheHierarchy uniqueName="[TBSuprimentos].[CUSTO PEDIDO (R$)]" caption="CUSTO PEDIDO (R$)" attribute="1" defaultMemberUniqueName="[TBSuprimentos].[CUSTO PEDIDO (R$)].[All]" allUniqueName="[TBSuprimentos].[CUSTO PEDIDO (R$)].[All]" dimensionUniqueName="[TBSuprimentos]" displayFolder="" count="0" memberValueDatatype="130" unbalanced="0"/>
    <cacheHierarchy uniqueName="[TBSuprimentos].[DATA SOLICITADA]" caption="DATA SOLICITADA" attribute="1" time="1" defaultMemberUniqueName="[TBSuprimentos].[DATA SOLICITADA].[All]" allUniqueName="[TBSuprimentos].[DATA SOLICITADA].[All]" dimensionUniqueName="[TBSuprimentos]" displayFolder="" count="0" memberValueDatatype="7" unbalanced="0"/>
    <cacheHierarchy uniqueName="[TBSuprimentos].[PRAZO FORNECEDOR (DIAS)]" caption="PRAZO FORNECEDOR (DIAS)" attribute="1" defaultMemberUniqueName="[TBSuprimentos].[PRAZO FORNECEDOR (DIAS)].[All]" allUniqueName="[TBSuprimentos].[PRAZO FORNECEDOR (DIAS)].[All]" dimensionUniqueName="[TBSuprimentos]" displayFolder="" count="0" memberValueDatatype="20" unbalanced="0"/>
    <cacheHierarchy uniqueName="[TBSuprimentos].[LEAD TIME ALVO]" caption="LEAD TIME ALVO" attribute="1" defaultMemberUniqueName="[TBSuprimentos].[LEAD TIME ALVO].[All]" allUniqueName="[TBSuprimentos].[LEAD TIME ALVO].[All]" dimensionUniqueName="[TBSuprimentos]" displayFolder="" count="0" memberValueDatatype="130" unbalanced="0"/>
    <cacheHierarchy uniqueName="[TBSuprimentos].[DATA ENTREGA (REAL)]" caption="DATA ENTREGA (REAL)" attribute="1" defaultMemberUniqueName="[TBSuprimentos].[DATA ENTREGA (REAL)].[All]" allUniqueName="[TBSuprimentos].[DATA ENTREGA (REAL)].[All]" dimensionUniqueName="[TBSuprimentos]" displayFolder="" count="0" memberValueDatatype="130" unbalanced="0"/>
    <cacheHierarchy uniqueName="[TBSuprimentos].[FORNECEDOR]" caption="FORNECEDOR" attribute="1" defaultMemberUniqueName="[TBSuprimentos].[FORNECEDOR].[All]" allUniqueName="[TBSuprimentos].[FORNECEDOR].[All]" dimensionUniqueName="[TBSuprimentos]" displayFolder="" count="0" memberValueDatatype="130" unbalanced="0"/>
    <cacheHierarchy uniqueName="[Measures].[Nivel_Servico_Essenciais]" caption="Nivel_Servico_Essenciais" measure="1" displayFolder="" measureGroup="TBEstoque" count="0"/>
    <cacheHierarchy uniqueName="[Measures].[Cobertura_Estoque_Dias]" caption="Cobertura_Estoque_Dias" measure="1" displayFolder="" measureGroup="TBEstoque" count="0" oneField="1">
      <fieldsUsage count="1">
        <fieldUsage x="0"/>
      </fieldsUsage>
    </cacheHierarchy>
    <cacheHierarchy uniqueName="[Measures].[Aderencia_Consumo_Percentual]" caption="Aderencia_Consumo_Percentual" measure="1" displayFolder="" measureGroup="TBEstoque" count="0"/>
    <cacheHierarchy uniqueName="[Measures].[Capital_Imobilizado_Critico]" caption="Capital_Imobilizado_Critico" measure="1" displayFolder="" measureGroup="TBEstoque" count="0"/>
    <cacheHierarchy uniqueName="[Measures].[Saving_Estimado_Excesso]" caption="Saving_Estimado_Excesso" measure="1" displayFolder="" measureGroup="TBEstoque" count="0"/>
    <cacheHierarchy uniqueName="[Measures].[__XL_Count TBEstoque]" caption="__XL_Count TBEstoque" measure="1" displayFolder="" measureGroup="TBEstoque" count="0" hidden="1"/>
    <cacheHierarchy uniqueName="[Measures].[__XL_Count TBConsumo]" caption="__XL_Count TBConsumo" measure="1" displayFolder="" measureGroup="TBConsumo" count="0" hidden="1"/>
    <cacheHierarchy uniqueName="[Measures].[__XL_Count TBSuprimentos]" caption="__XL_Count TBSuprimentos" measure="1" displayFolder="" measureGroup="TBSuprimentos" count="0" hidden="1"/>
    <cacheHierarchy uniqueName="[Measures].[__Não há medidas definidas]" caption="__Não há medidas definidas" measure="1" displayFolder="" count="0" hidden="1"/>
    <cacheHierarchy uniqueName="[Measures].[Soma de VALOR TOTAL (R$)]" caption="Soma de VALOR TOTAL (R$)" measure="1" displayFolder="" measureGroup="TBEstoqu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SUGESTÃO QTDE]" caption="Contagem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ntagem Distinta de SUGESTÃO QTDE]" caption="Contagem Distint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SKU]" caption="Som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SKU]" caption="Contagem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SUGESTÃO QTDE]" caption="Som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VALOR TOTAL (R$) 2]" caption="Soma de VALOR TOTAL (R$) 2" measure="1" displayFolder="" measureGroup="TBConsum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SKU 2]" caption="Soma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SKU 2]" caption="Contagem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CUSTO PEDIDO (R$)]" caption="Contagem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CUSTO PEDIDO (R$)]" caption="Som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istinta de CUSTO PEDIDO (R$)]" caption="Contagem Distint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STATUS COMPRA]" caption="Contagem de STATUS COMPRA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ntagem Distinta de SKU]" caption="Contagem Distint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SKU]" caption="Máx.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4">
    <dimension measure="1" name="Measures" uniqueName="[Measures]" caption="Measures"/>
    <dimension name="TBConsumo" uniqueName="[TBConsumo]" caption="TBConsumo"/>
    <dimension name="TBEstoque" uniqueName="[TBEstoque]" caption="TBEstoque"/>
    <dimension name="TBSuprimentos" uniqueName="[TBSuprimentos]" caption="TBSuprimentos"/>
  </dimensions>
  <measureGroups count="3">
    <measureGroup name="TBConsumo" caption="TBConsumo"/>
    <measureGroup name="TBEstoque" caption="TBEstoque"/>
    <measureGroup name="TBSuprimentos" caption="TBSuprimentos"/>
  </measureGroups>
  <maps count="5">
    <map measureGroup="0" dimension="1"/>
    <map measureGroup="0" dimension="2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ão Gabriel" refreshedDate="46127.832441782404" createdVersion="5" refreshedVersion="7" minRefreshableVersion="3" recordCount="0" supportSubquery="1" supportAdvancedDrill="1" xr:uid="{8B876BFA-D58C-4FF1-8BBA-62A1B9B19DBE}">
  <cacheSource type="external" connectionId="1"/>
  <cacheFields count="1">
    <cacheField name="[Measures].[Capital_Imobilizado_Critico]" caption="Capital_Imobilizado_Critico" numFmtId="0" hierarchy="43" level="32767"/>
  </cacheFields>
  <cacheHierarchies count="64">
    <cacheHierarchy uniqueName="[TBConsumo].[ID PEDIDO]" caption="ID PEDIDO" attribute="1" defaultMemberUniqueName="[TBConsumo].[ID PEDIDO].[All]" allUniqueName="[TBConsumo].[ID PEDIDO].[All]" dimensionUniqueName="[TBConsumo]" displayFolder="" count="0" memberValueDatatype="130" unbalanced="0"/>
    <cacheHierarchy uniqueName="[TBConsumo].[SKU]" caption="SKU" attribute="1" defaultMemberUniqueName="[TBConsumo].[SKU].[All]" allUniqueName="[TBConsumo].[SKU].[All]" dimensionUniqueName="[TBConsumo]" displayFolder="" count="0" memberValueDatatype="20" unbalanced="0"/>
    <cacheHierarchy uniqueName="[TBConsumo].[CATEGÓRIA]" caption="CATEGÓRIA" attribute="1" defaultMemberUniqueName="[TBConsumo].[CATEGÓRIA].[All]" allUniqueName="[TBConsumo].[CATEGÓRIA].[All]" dimensionUniqueName="[TBConsumo]" displayFolder="" count="0" memberValueDatatype="130" unbalanced="0"/>
    <cacheHierarchy uniqueName="[TBConsumo].[DESCRIÇÃO]" caption="DESCRIÇÃO" attribute="1" defaultMemberUniqueName="[TBConsumo].[DESCRIÇÃO].[All]" allUniqueName="[TBConsumo].[DESCRIÇÃO].[All]" dimensionUniqueName="[TBConsumo]" displayFolder="" count="0" memberValueDatatype="130" unbalanced="0"/>
    <cacheHierarchy uniqueName="[TBConsumo].[QTDE SOLICITADA]" caption="QTDE SOLICITADA" attribute="1" defaultMemberUniqueName="[TBConsumo].[QTDE SOLICITADA].[All]" allUniqueName="[TBConsumo].[QTDE SOLICITADA].[All]" dimensionUniqueName="[TBConsumo]" displayFolder="" count="0" memberValueDatatype="20" unbalanced="0"/>
    <cacheHierarchy uniqueName="[TBConsumo].[UNID. MEDIDA]" caption="UNID. MEDIDA" attribute="1" defaultMemberUniqueName="[TBConsumo].[UNID. MEDIDA].[All]" allUniqueName="[TBConsumo].[UNID. MEDIDA].[All]" dimensionUniqueName="[TBConsumo]" displayFolder="" count="0" memberValueDatatype="130" unbalanced="0"/>
    <cacheHierarchy uniqueName="[TBConsumo].[UNID. DESTINO]" caption="UNID. DESTINO" attribute="1" defaultMemberUniqueName="[TBConsumo].[UNID. DESTINO].[All]" allUniqueName="[TBConsumo].[UNID. DESTINO].[All]" dimensionUniqueName="[TBConsumo]" displayFolder="" count="0" memberValueDatatype="130" unbalanced="0"/>
    <cacheHierarchy uniqueName="[TBConsumo].[SOLICITANTE]" caption="SOLICITANTE" attribute="1" defaultMemberUniqueName="[TBConsumo].[SOLICITANTE].[All]" allUniqueName="[TBConsumo].[SOLICITANTE].[All]" dimensionUniqueName="[TBConsumo]" displayFolder="" count="0" memberValueDatatype="130" unbalanced="0"/>
    <cacheHierarchy uniqueName="[TBConsumo].[DATA SOLICITADA]" caption="DATA SOLICITADA" attribute="1" time="1" defaultMemberUniqueName="[TBConsumo].[DATA SOLICITADA].[All]" allUniqueName="[TBConsumo].[DATA SOLICITADA].[All]" dimensionUniqueName="[TBConsumo]" displayFolder="" count="0" memberValueDatatype="7" unbalanced="0"/>
    <cacheHierarchy uniqueName="[TBConsumo].[DATA MOVIMENTADA]" caption="DATA MOVIMENTADA" attribute="1" time="1" defaultMemberUniqueName="[TBConsumo].[DATA MOVIMENTADA].[All]" allUniqueName="[TBConsumo].[DATA MOVIMENTADA].[All]" dimensionUniqueName="[TBConsumo]" displayFolder="" count="0" memberValueDatatype="7" unbalanced="0"/>
    <cacheHierarchy uniqueName="[TBConsumo].[LEAD TIME (DIAS)]" caption="LEAD TIME (DIAS)" attribute="1" defaultMemberUniqueName="[TBConsumo].[LEAD TIME (DIAS)].[All]" allUniqueName="[TBConsumo].[LEAD TIME (DIAS)].[All]" dimensionUniqueName="[TBConsumo]" displayFolder="" count="0" memberValueDatatype="130" unbalanced="0"/>
    <cacheHierarchy uniqueName="[TBConsumo].[VALOR TOTAL (R$)]" caption="VALOR TOTAL (R$)" attribute="1" defaultMemberUniqueName="[TBConsumo].[VALOR TOTAL (R$)].[All]" allUniqueName="[TBConsumo].[VALOR TOTAL (R$)].[All]" dimensionUniqueName="[TBConsumo]" displayFolder="" count="0" memberValueDatatype="5" unbalanced="0"/>
    <cacheHierarchy uniqueName="[TBEstoque].[SKU]" caption="SKU" attribute="1" defaultMemberUniqueName="[TBEstoque].[SKU].[All]" allUniqueName="[TBEstoque].[SKU].[All]" dimensionUniqueName="[TBEstoque]" displayFolder="" count="0" memberValueDatatype="20" unbalanced="0"/>
    <cacheHierarchy uniqueName="[TBEstoque].[CATEGÓRIA]" caption="CATEGÓRIA" attribute="1" defaultMemberUniqueName="[TBEstoque].[CATEGÓRIA].[All]" allUniqueName="[TBEstoque].[CATEGÓRIA].[All]" dimensionUniqueName="[TBEstoque]" displayFolder="" count="0" memberValueDatatype="130" unbalanced="0"/>
    <cacheHierarchy uniqueName="[TBEstoque].[DESCRIÇÃO]" caption="DESCRIÇÃO" attribute="1" defaultMemberUniqueName="[TBEstoque].[DESCRIÇÃO].[All]" allUniqueName="[TBEstoque].[DESCRIÇÃO].[All]" dimensionUniqueName="[TBEstoque]" displayFolder="" count="0" memberValueDatatype="130" unbalanced="0"/>
    <cacheHierarchy uniqueName="[TBEstoque].[UNID. MEDIDA]" caption="UNID. MEDIDA" attribute="1" defaultMemberUniqueName="[TBEstoque].[UNID. MEDIDA].[All]" allUniqueName="[TBEstoque].[UNID. MEDIDA].[All]" dimensionUniqueName="[TBEstoque]" displayFolder="" count="0" memberValueDatatype="130" unbalanced="0"/>
    <cacheHierarchy uniqueName="[TBEstoque].[ESTOQUE ATUAL]" caption="ESTOQUE ATUAL" attribute="1" defaultMemberUniqueName="[TBEstoque].[ESTOQUE ATUAL].[All]" allUniqueName="[TBEstoque].[ESTOQUE ATUAL].[All]" dimensionUniqueName="[TBEstoque]" displayFolder="" count="0" memberValueDatatype="20" unbalanced="0"/>
    <cacheHierarchy uniqueName="[TBEstoque].[CONSUMO MÉDIO MENSAL]" caption="CONSUMO MÉDIO MENSAL" attribute="1" defaultMemberUniqueName="[TBEstoque].[CONSUMO MÉDIO MENSAL].[All]" allUniqueName="[TBEstoque].[CONSUMO MÉDIO MENSAL].[All]" dimensionUniqueName="[TBEstoque]" displayFolder="" count="0" memberValueDatatype="20" unbalanced="0"/>
    <cacheHierarchy uniqueName="[TBEstoque].[CURVA ABC]" caption="CURVA ABC" attribute="1" defaultMemberUniqueName="[TBEstoque].[CURVA ABC].[All]" allUniqueName="[TBEstoque].[CURVA ABC].[All]" dimensionUniqueName="[TBEstoque]" displayFolder="" count="0" memberValueDatatype="130" unbalanced="0"/>
    <cacheHierarchy uniqueName="[TBEstoque].[ITEM ESSENCIAL]" caption="ITEM ESSENCIAL" attribute="1" defaultMemberUniqueName="[TBEstoque].[ITEM ESSENCIAL].[All]" allUniqueName="[TBEstoque].[ITEM ESSENCIAL].[All]" dimensionUniqueName="[TBEstoque]" displayFolder="" count="0" memberValueDatatype="130" unbalanced="0"/>
    <cacheHierarchy uniqueName="[TBEstoque].[VALOR UNIT. (R$)]" caption="VALOR UNIT. (R$)" attribute="1" defaultMemberUniqueName="[TBEstoque].[VALOR UNIT. (R$)].[All]" allUniqueName="[TBEstoque].[VALOR UNIT. (R$)].[All]" dimensionUniqueName="[TBEstoque]" displayFolder="" count="0" memberValueDatatype="5" unbalanced="0"/>
    <cacheHierarchy uniqueName="[TBEstoque].[VALOR TOTAL (R$)]" caption="VALOR TOTAL (R$)" attribute="1" defaultMemberUniqueName="[TBEstoque].[VALOR TOTAL (R$)].[All]" allUniqueName="[TBEstoque].[VALOR TOTAL (R$)].[All]" dimensionUniqueName="[TBEstoque]" displayFolder="" count="0" memberValueDatatype="5" unbalanced="0"/>
    <cacheHierarchy uniqueName="[TBEstoque].[NF-e]" caption="NF-e" attribute="1" defaultMemberUniqueName="[TBEstoque].[NF-e].[All]" allUniqueName="[TBEstoque].[NF-e].[All]" dimensionUniqueName="[TBEstoque]" displayFolder="" count="0" memberValueDatatype="20" unbalanced="0"/>
    <cacheHierarchy uniqueName="[TBEstoque].[FORNECEDOR]" caption="FORNECEDOR" attribute="1" defaultMemberUniqueName="[TBEstoque].[FORNECEDOR].[All]" allUniqueName="[TBEstoque].[FORNECEDOR].[All]" dimensionUniqueName="[TBEstoque]" displayFolder="" count="0" memberValueDatatype="130" unbalanced="0"/>
    <cacheHierarchy uniqueName="[TBSuprimentos].[SKU]" caption="SKU" attribute="1" defaultMemberUniqueName="[TBSuprimentos].[SKU].[All]" allUniqueName="[TBSuprimentos].[SKU].[All]" dimensionUniqueName="[TBSuprimentos]" displayFolder="" count="0" memberValueDatatype="20" unbalanced="0"/>
    <cacheHierarchy uniqueName="[TBSuprimentos].[CATEGÓRIA]" caption="CATEGÓRIA" attribute="1" defaultMemberUniqueName="[TBSuprimentos].[CATEGÓRIA].[All]" allUniqueName="[TBSuprimentos].[CATEGÓRIA].[All]" dimensionUniqueName="[TBSuprimentos]" displayFolder="" count="0" memberValueDatatype="130" unbalanced="0"/>
    <cacheHierarchy uniqueName="[TBSuprimentos].[DESCRIÇÃO]" caption="DESCRIÇÃO" attribute="1" defaultMemberUniqueName="[TBSuprimentos].[DESCRIÇÃO].[All]" allUniqueName="[TBSuprimentos].[DESCRIÇÃO].[All]" dimensionUniqueName="[TBSuprimentos]" displayFolder="" count="0" memberValueDatatype="130" unbalanced="0"/>
    <cacheHierarchy uniqueName="[TBSuprimentos].[UNID. MEDIDA]" caption="UNID. MEDIDA" attribute="1" defaultMemberUniqueName="[TBSuprimentos].[UNID. MEDIDA].[All]" allUniqueName="[TBSuprimentos].[UNID. MEDIDA].[All]" dimensionUniqueName="[TBSuprimentos]" displayFolder="" count="0" memberValueDatatype="130" unbalanced="0"/>
    <cacheHierarchy uniqueName="[TBSuprimentos].[ESTOQUE ATUAL]" caption="ESTOQUE ATUAL" attribute="1" defaultMemberUniqueName="[TBSuprimentos].[ESTOQUE ATUAL].[All]" allUniqueName="[TBSuprimentos].[ESTOQUE ATUAL].[All]" dimensionUniqueName="[TBSuprimentos]" displayFolder="" count="0" memberValueDatatype="20" unbalanced="0"/>
    <cacheHierarchy uniqueName="[TBSuprimentos].[MÉDIA CONSUMO]" caption="MÉDIA CONSUMO" attribute="1" defaultMemberUniqueName="[TBSuprimentos].[MÉDIA CONSUMO].[All]" allUniqueName="[TBSuprimentos].[MÉDIA CONSUMO].[All]" dimensionUniqueName="[TBSuprimentos]" displayFolder="" count="0" memberValueDatatype="20" unbalanced="0"/>
    <cacheHierarchy uniqueName="[TBSuprimentos].[STATUS COMPRA]" caption="STATUS COMPRA" attribute="1" defaultMemberUniqueName="[TBSuprimentos].[STATUS COMPRA].[All]" allUniqueName="[TBSuprimentos].[STATUS COMPRA].[All]" dimensionUniqueName="[TBSuprimentos]" displayFolder="" count="0" memberValueDatatype="130" unbalanced="0"/>
    <cacheHierarchy uniqueName="[TBSuprimentos].[FATOR EMBALAGEM]" caption="FATOR EMBALAGEM" attribute="1" defaultMemberUniqueName="[TBSuprimentos].[FATOR EMBALAGEM].[All]" allUniqueName="[TBSuprimentos].[FATOR EMBALAGEM].[All]" dimensionUniqueName="[TBSuprimentos]" displayFolder="" count="0" memberValueDatatype="20" unbalanced="0"/>
    <cacheHierarchy uniqueName="[TBSuprimentos].[FATOR MEDIDA]" caption="FATOR MEDIDA" attribute="1" defaultMemberUniqueName="[TBSuprimentos].[FATOR MEDIDA].[All]" allUniqueName="[TBSuprimentos].[FATOR MEDIDA].[All]" dimensionUniqueName="[TBSuprimentos]" displayFolder="" count="0" memberValueDatatype="130" unbalanced="0"/>
    <cacheHierarchy uniqueName="[TBSuprimentos].[SUGESTÃO QTDE]" caption="SUGESTÃO QTDE" attribute="1" defaultMemberUniqueName="[TBSuprimentos].[SUGESTÃO QTDE].[All]" allUniqueName="[TBSuprimentos].[SUGESTÃO QTDE].[All]" dimensionUniqueName="[TBSuprimentos]" displayFolder="" count="0" memberValueDatatype="130" unbalanced="0"/>
    <cacheHierarchy uniqueName="[TBSuprimentos].[CUSTO PEDIDO (R$)]" caption="CUSTO PEDIDO (R$)" attribute="1" defaultMemberUniqueName="[TBSuprimentos].[CUSTO PEDIDO (R$)].[All]" allUniqueName="[TBSuprimentos].[CUSTO PEDIDO (R$)].[All]" dimensionUniqueName="[TBSuprimentos]" displayFolder="" count="0" memberValueDatatype="130" unbalanced="0"/>
    <cacheHierarchy uniqueName="[TBSuprimentos].[DATA SOLICITADA]" caption="DATA SOLICITADA" attribute="1" time="1" defaultMemberUniqueName="[TBSuprimentos].[DATA SOLICITADA].[All]" allUniqueName="[TBSuprimentos].[DATA SOLICITADA].[All]" dimensionUniqueName="[TBSuprimentos]" displayFolder="" count="0" memberValueDatatype="7" unbalanced="0"/>
    <cacheHierarchy uniqueName="[TBSuprimentos].[PRAZO FORNECEDOR (DIAS)]" caption="PRAZO FORNECEDOR (DIAS)" attribute="1" defaultMemberUniqueName="[TBSuprimentos].[PRAZO FORNECEDOR (DIAS)].[All]" allUniqueName="[TBSuprimentos].[PRAZO FORNECEDOR (DIAS)].[All]" dimensionUniqueName="[TBSuprimentos]" displayFolder="" count="0" memberValueDatatype="20" unbalanced="0"/>
    <cacheHierarchy uniqueName="[TBSuprimentos].[LEAD TIME ALVO]" caption="LEAD TIME ALVO" attribute="1" defaultMemberUniqueName="[TBSuprimentos].[LEAD TIME ALVO].[All]" allUniqueName="[TBSuprimentos].[LEAD TIME ALVO].[All]" dimensionUniqueName="[TBSuprimentos]" displayFolder="" count="0" memberValueDatatype="130" unbalanced="0"/>
    <cacheHierarchy uniqueName="[TBSuprimentos].[DATA ENTREGA (REAL)]" caption="DATA ENTREGA (REAL)" attribute="1" defaultMemberUniqueName="[TBSuprimentos].[DATA ENTREGA (REAL)].[All]" allUniqueName="[TBSuprimentos].[DATA ENTREGA (REAL)].[All]" dimensionUniqueName="[TBSuprimentos]" displayFolder="" count="0" memberValueDatatype="130" unbalanced="0"/>
    <cacheHierarchy uniqueName="[TBSuprimentos].[FORNECEDOR]" caption="FORNECEDOR" attribute="1" defaultMemberUniqueName="[TBSuprimentos].[FORNECEDOR].[All]" allUniqueName="[TBSuprimentos].[FORNECEDOR].[All]" dimensionUniqueName="[TBSuprimentos]" displayFolder="" count="0" memberValueDatatype="130" unbalanced="0"/>
    <cacheHierarchy uniqueName="[Measures].[Nivel_Servico_Essenciais]" caption="Nivel_Servico_Essenciais" measure="1" displayFolder="" measureGroup="TBEstoque" count="0"/>
    <cacheHierarchy uniqueName="[Measures].[Cobertura_Estoque_Dias]" caption="Cobertura_Estoque_Dias" measure="1" displayFolder="" measureGroup="TBEstoque" count="0"/>
    <cacheHierarchy uniqueName="[Measures].[Aderencia_Consumo_Percentual]" caption="Aderencia_Consumo_Percentual" measure="1" displayFolder="" measureGroup="TBEstoque" count="0"/>
    <cacheHierarchy uniqueName="[Measures].[Capital_Imobilizado_Critico]" caption="Capital_Imobilizado_Critico" measure="1" displayFolder="" measureGroup="TBEstoque" count="0" oneField="1">
      <fieldsUsage count="1">
        <fieldUsage x="0"/>
      </fieldsUsage>
    </cacheHierarchy>
    <cacheHierarchy uniqueName="[Measures].[Saving_Estimado_Excesso]" caption="Saving_Estimado_Excesso" measure="1" displayFolder="" measureGroup="TBEstoque" count="0"/>
    <cacheHierarchy uniqueName="[Measures].[__XL_Count TBEstoque]" caption="__XL_Count TBEstoque" measure="1" displayFolder="" measureGroup="TBEstoque" count="0" hidden="1"/>
    <cacheHierarchy uniqueName="[Measures].[__XL_Count TBConsumo]" caption="__XL_Count TBConsumo" measure="1" displayFolder="" measureGroup="TBConsumo" count="0" hidden="1"/>
    <cacheHierarchy uniqueName="[Measures].[__XL_Count TBSuprimentos]" caption="__XL_Count TBSuprimentos" measure="1" displayFolder="" measureGroup="TBSuprimentos" count="0" hidden="1"/>
    <cacheHierarchy uniqueName="[Measures].[__Não há medidas definidas]" caption="__Não há medidas definidas" measure="1" displayFolder="" count="0" hidden="1"/>
    <cacheHierarchy uniqueName="[Measures].[Soma de VALOR TOTAL (R$)]" caption="Soma de VALOR TOTAL (R$)" measure="1" displayFolder="" measureGroup="TBEstoqu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SUGESTÃO QTDE]" caption="Contagem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ntagem Distinta de SUGESTÃO QTDE]" caption="Contagem Distint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SKU]" caption="Som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SKU]" caption="Contagem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SUGESTÃO QTDE]" caption="Som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VALOR TOTAL (R$) 2]" caption="Soma de VALOR TOTAL (R$) 2" measure="1" displayFolder="" measureGroup="TBConsum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SKU 2]" caption="Soma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SKU 2]" caption="Contagem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CUSTO PEDIDO (R$)]" caption="Contagem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CUSTO PEDIDO (R$)]" caption="Som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istinta de CUSTO PEDIDO (R$)]" caption="Contagem Distint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STATUS COMPRA]" caption="Contagem de STATUS COMPRA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ntagem Distinta de SKU]" caption="Contagem Distint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SKU]" caption="Máx.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4">
    <dimension measure="1" name="Measures" uniqueName="[Measures]" caption="Measures"/>
    <dimension name="TBConsumo" uniqueName="[TBConsumo]" caption="TBConsumo"/>
    <dimension name="TBEstoque" uniqueName="[TBEstoque]" caption="TBEstoque"/>
    <dimension name="TBSuprimentos" uniqueName="[TBSuprimentos]" caption="TBSuprimentos"/>
  </dimensions>
  <measureGroups count="3">
    <measureGroup name="TBConsumo" caption="TBConsumo"/>
    <measureGroup name="TBEstoque" caption="TBEstoque"/>
    <measureGroup name="TBSuprimentos" caption="TBSuprimentos"/>
  </measureGroups>
  <maps count="5">
    <map measureGroup="0" dimension="1"/>
    <map measureGroup="0" dimension="2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ão Gabriel" refreshedDate="46127.832442824074" createdVersion="5" refreshedVersion="7" minRefreshableVersion="3" recordCount="0" supportSubquery="1" supportAdvancedDrill="1" xr:uid="{4D04B6A3-2B30-4A29-B835-8D49CD4E7D89}">
  <cacheSource type="external" connectionId="1"/>
  <cacheFields count="1">
    <cacheField name="[Measures].[Nivel_Servico_Essenciais]" caption="Nivel_Servico_Essenciais" numFmtId="0" hierarchy="40" level="32767"/>
  </cacheFields>
  <cacheHierarchies count="64">
    <cacheHierarchy uniqueName="[TBConsumo].[ID PEDIDO]" caption="ID PEDIDO" attribute="1" defaultMemberUniqueName="[TBConsumo].[ID PEDIDO].[All]" allUniqueName="[TBConsumo].[ID PEDIDO].[All]" dimensionUniqueName="[TBConsumo]" displayFolder="" count="0" memberValueDatatype="130" unbalanced="0"/>
    <cacheHierarchy uniqueName="[TBConsumo].[SKU]" caption="SKU" attribute="1" defaultMemberUniqueName="[TBConsumo].[SKU].[All]" allUniqueName="[TBConsumo].[SKU].[All]" dimensionUniqueName="[TBConsumo]" displayFolder="" count="0" memberValueDatatype="20" unbalanced="0"/>
    <cacheHierarchy uniqueName="[TBConsumo].[CATEGÓRIA]" caption="CATEGÓRIA" attribute="1" defaultMemberUniqueName="[TBConsumo].[CATEGÓRIA].[All]" allUniqueName="[TBConsumo].[CATEGÓRIA].[All]" dimensionUniqueName="[TBConsumo]" displayFolder="" count="0" memberValueDatatype="130" unbalanced="0"/>
    <cacheHierarchy uniqueName="[TBConsumo].[DESCRIÇÃO]" caption="DESCRIÇÃO" attribute="1" defaultMemberUniqueName="[TBConsumo].[DESCRIÇÃO].[All]" allUniqueName="[TBConsumo].[DESCRIÇÃO].[All]" dimensionUniqueName="[TBConsumo]" displayFolder="" count="0" memberValueDatatype="130" unbalanced="0"/>
    <cacheHierarchy uniqueName="[TBConsumo].[QTDE SOLICITADA]" caption="QTDE SOLICITADA" attribute="1" defaultMemberUniqueName="[TBConsumo].[QTDE SOLICITADA].[All]" allUniqueName="[TBConsumo].[QTDE SOLICITADA].[All]" dimensionUniqueName="[TBConsumo]" displayFolder="" count="0" memberValueDatatype="20" unbalanced="0"/>
    <cacheHierarchy uniqueName="[TBConsumo].[UNID. MEDIDA]" caption="UNID. MEDIDA" attribute="1" defaultMemberUniqueName="[TBConsumo].[UNID. MEDIDA].[All]" allUniqueName="[TBConsumo].[UNID. MEDIDA].[All]" dimensionUniqueName="[TBConsumo]" displayFolder="" count="0" memberValueDatatype="130" unbalanced="0"/>
    <cacheHierarchy uniqueName="[TBConsumo].[UNID. DESTINO]" caption="UNID. DESTINO" attribute="1" defaultMemberUniqueName="[TBConsumo].[UNID. DESTINO].[All]" allUniqueName="[TBConsumo].[UNID. DESTINO].[All]" dimensionUniqueName="[TBConsumo]" displayFolder="" count="0" memberValueDatatype="130" unbalanced="0"/>
    <cacheHierarchy uniqueName="[TBConsumo].[SOLICITANTE]" caption="SOLICITANTE" attribute="1" defaultMemberUniqueName="[TBConsumo].[SOLICITANTE].[All]" allUniqueName="[TBConsumo].[SOLICITANTE].[All]" dimensionUniqueName="[TBConsumo]" displayFolder="" count="0" memberValueDatatype="130" unbalanced="0"/>
    <cacheHierarchy uniqueName="[TBConsumo].[DATA SOLICITADA]" caption="DATA SOLICITADA" attribute="1" time="1" defaultMemberUniqueName="[TBConsumo].[DATA SOLICITADA].[All]" allUniqueName="[TBConsumo].[DATA SOLICITADA].[All]" dimensionUniqueName="[TBConsumo]" displayFolder="" count="0" memberValueDatatype="7" unbalanced="0"/>
    <cacheHierarchy uniqueName="[TBConsumo].[DATA MOVIMENTADA]" caption="DATA MOVIMENTADA" attribute="1" time="1" defaultMemberUniqueName="[TBConsumo].[DATA MOVIMENTADA].[All]" allUniqueName="[TBConsumo].[DATA MOVIMENTADA].[All]" dimensionUniqueName="[TBConsumo]" displayFolder="" count="0" memberValueDatatype="7" unbalanced="0"/>
    <cacheHierarchy uniqueName="[TBConsumo].[LEAD TIME (DIAS)]" caption="LEAD TIME (DIAS)" attribute="1" defaultMemberUniqueName="[TBConsumo].[LEAD TIME (DIAS)].[All]" allUniqueName="[TBConsumo].[LEAD TIME (DIAS)].[All]" dimensionUniqueName="[TBConsumo]" displayFolder="" count="0" memberValueDatatype="130" unbalanced="0"/>
    <cacheHierarchy uniqueName="[TBConsumo].[VALOR TOTAL (R$)]" caption="VALOR TOTAL (R$)" attribute="1" defaultMemberUniqueName="[TBConsumo].[VALOR TOTAL (R$)].[All]" allUniqueName="[TBConsumo].[VALOR TOTAL (R$)].[All]" dimensionUniqueName="[TBConsumo]" displayFolder="" count="0" memberValueDatatype="5" unbalanced="0"/>
    <cacheHierarchy uniqueName="[TBEstoque].[SKU]" caption="SKU" attribute="1" defaultMemberUniqueName="[TBEstoque].[SKU].[All]" allUniqueName="[TBEstoque].[SKU].[All]" dimensionUniqueName="[TBEstoque]" displayFolder="" count="0" memberValueDatatype="20" unbalanced="0"/>
    <cacheHierarchy uniqueName="[TBEstoque].[CATEGÓRIA]" caption="CATEGÓRIA" attribute="1" defaultMemberUniqueName="[TBEstoque].[CATEGÓRIA].[All]" allUniqueName="[TBEstoque].[CATEGÓRIA].[All]" dimensionUniqueName="[TBEstoque]" displayFolder="" count="0" memberValueDatatype="130" unbalanced="0"/>
    <cacheHierarchy uniqueName="[TBEstoque].[DESCRIÇÃO]" caption="DESCRIÇÃO" attribute="1" defaultMemberUniqueName="[TBEstoque].[DESCRIÇÃO].[All]" allUniqueName="[TBEstoque].[DESCRIÇÃO].[All]" dimensionUniqueName="[TBEstoque]" displayFolder="" count="0" memberValueDatatype="130" unbalanced="0"/>
    <cacheHierarchy uniqueName="[TBEstoque].[UNID. MEDIDA]" caption="UNID. MEDIDA" attribute="1" defaultMemberUniqueName="[TBEstoque].[UNID. MEDIDA].[All]" allUniqueName="[TBEstoque].[UNID. MEDIDA].[All]" dimensionUniqueName="[TBEstoque]" displayFolder="" count="0" memberValueDatatype="130" unbalanced="0"/>
    <cacheHierarchy uniqueName="[TBEstoque].[ESTOQUE ATUAL]" caption="ESTOQUE ATUAL" attribute="1" defaultMemberUniqueName="[TBEstoque].[ESTOQUE ATUAL].[All]" allUniqueName="[TBEstoque].[ESTOQUE ATUAL].[All]" dimensionUniqueName="[TBEstoque]" displayFolder="" count="0" memberValueDatatype="20" unbalanced="0"/>
    <cacheHierarchy uniqueName="[TBEstoque].[CONSUMO MÉDIO MENSAL]" caption="CONSUMO MÉDIO MENSAL" attribute="1" defaultMemberUniqueName="[TBEstoque].[CONSUMO MÉDIO MENSAL].[All]" allUniqueName="[TBEstoque].[CONSUMO MÉDIO MENSAL].[All]" dimensionUniqueName="[TBEstoque]" displayFolder="" count="0" memberValueDatatype="20" unbalanced="0"/>
    <cacheHierarchy uniqueName="[TBEstoque].[CURVA ABC]" caption="CURVA ABC" attribute="1" defaultMemberUniqueName="[TBEstoque].[CURVA ABC].[All]" allUniqueName="[TBEstoque].[CURVA ABC].[All]" dimensionUniqueName="[TBEstoque]" displayFolder="" count="0" memberValueDatatype="130" unbalanced="0"/>
    <cacheHierarchy uniqueName="[TBEstoque].[ITEM ESSENCIAL]" caption="ITEM ESSENCIAL" attribute="1" defaultMemberUniqueName="[TBEstoque].[ITEM ESSENCIAL].[All]" allUniqueName="[TBEstoque].[ITEM ESSENCIAL].[All]" dimensionUniqueName="[TBEstoque]" displayFolder="" count="0" memberValueDatatype="130" unbalanced="0"/>
    <cacheHierarchy uniqueName="[TBEstoque].[VALOR UNIT. (R$)]" caption="VALOR UNIT. (R$)" attribute="1" defaultMemberUniqueName="[TBEstoque].[VALOR UNIT. (R$)].[All]" allUniqueName="[TBEstoque].[VALOR UNIT. (R$)].[All]" dimensionUniqueName="[TBEstoque]" displayFolder="" count="0" memberValueDatatype="5" unbalanced="0"/>
    <cacheHierarchy uniqueName="[TBEstoque].[VALOR TOTAL (R$)]" caption="VALOR TOTAL (R$)" attribute="1" defaultMemberUniqueName="[TBEstoque].[VALOR TOTAL (R$)].[All]" allUniqueName="[TBEstoque].[VALOR TOTAL (R$)].[All]" dimensionUniqueName="[TBEstoque]" displayFolder="" count="0" memberValueDatatype="5" unbalanced="0"/>
    <cacheHierarchy uniqueName="[TBEstoque].[NF-e]" caption="NF-e" attribute="1" defaultMemberUniqueName="[TBEstoque].[NF-e].[All]" allUniqueName="[TBEstoque].[NF-e].[All]" dimensionUniqueName="[TBEstoque]" displayFolder="" count="0" memberValueDatatype="20" unbalanced="0"/>
    <cacheHierarchy uniqueName="[TBEstoque].[FORNECEDOR]" caption="FORNECEDOR" attribute="1" defaultMemberUniqueName="[TBEstoque].[FORNECEDOR].[All]" allUniqueName="[TBEstoque].[FORNECEDOR].[All]" dimensionUniqueName="[TBEstoque]" displayFolder="" count="0" memberValueDatatype="130" unbalanced="0"/>
    <cacheHierarchy uniqueName="[TBSuprimentos].[SKU]" caption="SKU" attribute="1" defaultMemberUniqueName="[TBSuprimentos].[SKU].[All]" allUniqueName="[TBSuprimentos].[SKU].[All]" dimensionUniqueName="[TBSuprimentos]" displayFolder="" count="0" memberValueDatatype="20" unbalanced="0"/>
    <cacheHierarchy uniqueName="[TBSuprimentos].[CATEGÓRIA]" caption="CATEGÓRIA" attribute="1" defaultMemberUniqueName="[TBSuprimentos].[CATEGÓRIA].[All]" allUniqueName="[TBSuprimentos].[CATEGÓRIA].[All]" dimensionUniqueName="[TBSuprimentos]" displayFolder="" count="0" memberValueDatatype="130" unbalanced="0"/>
    <cacheHierarchy uniqueName="[TBSuprimentos].[DESCRIÇÃO]" caption="DESCRIÇÃO" attribute="1" defaultMemberUniqueName="[TBSuprimentos].[DESCRIÇÃO].[All]" allUniqueName="[TBSuprimentos].[DESCRIÇÃO].[All]" dimensionUniqueName="[TBSuprimentos]" displayFolder="" count="0" memberValueDatatype="130" unbalanced="0"/>
    <cacheHierarchy uniqueName="[TBSuprimentos].[UNID. MEDIDA]" caption="UNID. MEDIDA" attribute="1" defaultMemberUniqueName="[TBSuprimentos].[UNID. MEDIDA].[All]" allUniqueName="[TBSuprimentos].[UNID. MEDIDA].[All]" dimensionUniqueName="[TBSuprimentos]" displayFolder="" count="0" memberValueDatatype="130" unbalanced="0"/>
    <cacheHierarchy uniqueName="[TBSuprimentos].[ESTOQUE ATUAL]" caption="ESTOQUE ATUAL" attribute="1" defaultMemberUniqueName="[TBSuprimentos].[ESTOQUE ATUAL].[All]" allUniqueName="[TBSuprimentos].[ESTOQUE ATUAL].[All]" dimensionUniqueName="[TBSuprimentos]" displayFolder="" count="0" memberValueDatatype="20" unbalanced="0"/>
    <cacheHierarchy uniqueName="[TBSuprimentos].[MÉDIA CONSUMO]" caption="MÉDIA CONSUMO" attribute="1" defaultMemberUniqueName="[TBSuprimentos].[MÉDIA CONSUMO].[All]" allUniqueName="[TBSuprimentos].[MÉDIA CONSUMO].[All]" dimensionUniqueName="[TBSuprimentos]" displayFolder="" count="0" memberValueDatatype="20" unbalanced="0"/>
    <cacheHierarchy uniqueName="[TBSuprimentos].[STATUS COMPRA]" caption="STATUS COMPRA" attribute="1" defaultMemberUniqueName="[TBSuprimentos].[STATUS COMPRA].[All]" allUniqueName="[TBSuprimentos].[STATUS COMPRA].[All]" dimensionUniqueName="[TBSuprimentos]" displayFolder="" count="0" memberValueDatatype="130" unbalanced="0"/>
    <cacheHierarchy uniqueName="[TBSuprimentos].[FATOR EMBALAGEM]" caption="FATOR EMBALAGEM" attribute="1" defaultMemberUniqueName="[TBSuprimentos].[FATOR EMBALAGEM].[All]" allUniqueName="[TBSuprimentos].[FATOR EMBALAGEM].[All]" dimensionUniqueName="[TBSuprimentos]" displayFolder="" count="0" memberValueDatatype="20" unbalanced="0"/>
    <cacheHierarchy uniqueName="[TBSuprimentos].[FATOR MEDIDA]" caption="FATOR MEDIDA" attribute="1" defaultMemberUniqueName="[TBSuprimentos].[FATOR MEDIDA].[All]" allUniqueName="[TBSuprimentos].[FATOR MEDIDA].[All]" dimensionUniqueName="[TBSuprimentos]" displayFolder="" count="0" memberValueDatatype="130" unbalanced="0"/>
    <cacheHierarchy uniqueName="[TBSuprimentos].[SUGESTÃO QTDE]" caption="SUGESTÃO QTDE" attribute="1" defaultMemberUniqueName="[TBSuprimentos].[SUGESTÃO QTDE].[All]" allUniqueName="[TBSuprimentos].[SUGESTÃO QTDE].[All]" dimensionUniqueName="[TBSuprimentos]" displayFolder="" count="0" memberValueDatatype="130" unbalanced="0"/>
    <cacheHierarchy uniqueName="[TBSuprimentos].[CUSTO PEDIDO (R$)]" caption="CUSTO PEDIDO (R$)" attribute="1" defaultMemberUniqueName="[TBSuprimentos].[CUSTO PEDIDO (R$)].[All]" allUniqueName="[TBSuprimentos].[CUSTO PEDIDO (R$)].[All]" dimensionUniqueName="[TBSuprimentos]" displayFolder="" count="0" memberValueDatatype="130" unbalanced="0"/>
    <cacheHierarchy uniqueName="[TBSuprimentos].[DATA SOLICITADA]" caption="DATA SOLICITADA" attribute="1" time="1" defaultMemberUniqueName="[TBSuprimentos].[DATA SOLICITADA].[All]" allUniqueName="[TBSuprimentos].[DATA SOLICITADA].[All]" dimensionUniqueName="[TBSuprimentos]" displayFolder="" count="0" memberValueDatatype="7" unbalanced="0"/>
    <cacheHierarchy uniqueName="[TBSuprimentos].[PRAZO FORNECEDOR (DIAS)]" caption="PRAZO FORNECEDOR (DIAS)" attribute="1" defaultMemberUniqueName="[TBSuprimentos].[PRAZO FORNECEDOR (DIAS)].[All]" allUniqueName="[TBSuprimentos].[PRAZO FORNECEDOR (DIAS)].[All]" dimensionUniqueName="[TBSuprimentos]" displayFolder="" count="0" memberValueDatatype="20" unbalanced="0"/>
    <cacheHierarchy uniqueName="[TBSuprimentos].[LEAD TIME ALVO]" caption="LEAD TIME ALVO" attribute="1" defaultMemberUniqueName="[TBSuprimentos].[LEAD TIME ALVO].[All]" allUniqueName="[TBSuprimentos].[LEAD TIME ALVO].[All]" dimensionUniqueName="[TBSuprimentos]" displayFolder="" count="0" memberValueDatatype="130" unbalanced="0"/>
    <cacheHierarchy uniqueName="[TBSuprimentos].[DATA ENTREGA (REAL)]" caption="DATA ENTREGA (REAL)" attribute="1" defaultMemberUniqueName="[TBSuprimentos].[DATA ENTREGA (REAL)].[All]" allUniqueName="[TBSuprimentos].[DATA ENTREGA (REAL)].[All]" dimensionUniqueName="[TBSuprimentos]" displayFolder="" count="0" memberValueDatatype="130" unbalanced="0"/>
    <cacheHierarchy uniqueName="[TBSuprimentos].[FORNECEDOR]" caption="FORNECEDOR" attribute="1" defaultMemberUniqueName="[TBSuprimentos].[FORNECEDOR].[All]" allUniqueName="[TBSuprimentos].[FORNECEDOR].[All]" dimensionUniqueName="[TBSuprimentos]" displayFolder="" count="0" memberValueDatatype="130" unbalanced="0"/>
    <cacheHierarchy uniqueName="[Measures].[Nivel_Servico_Essenciais]" caption="Nivel_Servico_Essenciais" measure="1" displayFolder="" measureGroup="TBEstoque" count="0" oneField="1">
      <fieldsUsage count="1">
        <fieldUsage x="0"/>
      </fieldsUsage>
    </cacheHierarchy>
    <cacheHierarchy uniqueName="[Measures].[Cobertura_Estoque_Dias]" caption="Cobertura_Estoque_Dias" measure="1" displayFolder="" measureGroup="TBEstoque" count="0"/>
    <cacheHierarchy uniqueName="[Measures].[Aderencia_Consumo_Percentual]" caption="Aderencia_Consumo_Percentual" measure="1" displayFolder="" measureGroup="TBEstoque" count="0"/>
    <cacheHierarchy uniqueName="[Measures].[Capital_Imobilizado_Critico]" caption="Capital_Imobilizado_Critico" measure="1" displayFolder="" measureGroup="TBEstoque" count="0"/>
    <cacheHierarchy uniqueName="[Measures].[Saving_Estimado_Excesso]" caption="Saving_Estimado_Excesso" measure="1" displayFolder="" measureGroup="TBEstoque" count="0"/>
    <cacheHierarchy uniqueName="[Measures].[__XL_Count TBEstoque]" caption="__XL_Count TBEstoque" measure="1" displayFolder="" measureGroup="TBEstoque" count="0" hidden="1"/>
    <cacheHierarchy uniqueName="[Measures].[__XL_Count TBConsumo]" caption="__XL_Count TBConsumo" measure="1" displayFolder="" measureGroup="TBConsumo" count="0" hidden="1"/>
    <cacheHierarchy uniqueName="[Measures].[__XL_Count TBSuprimentos]" caption="__XL_Count TBSuprimentos" measure="1" displayFolder="" measureGroup="TBSuprimentos" count="0" hidden="1"/>
    <cacheHierarchy uniqueName="[Measures].[__Não há medidas definidas]" caption="__Não há medidas definidas" measure="1" displayFolder="" count="0" hidden="1"/>
    <cacheHierarchy uniqueName="[Measures].[Soma de VALOR TOTAL (R$)]" caption="Soma de VALOR TOTAL (R$)" measure="1" displayFolder="" measureGroup="TBEstoqu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SUGESTÃO QTDE]" caption="Contagem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ntagem Distinta de SUGESTÃO QTDE]" caption="Contagem Distint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SKU]" caption="Som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SKU]" caption="Contagem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SUGESTÃO QTDE]" caption="Som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VALOR TOTAL (R$) 2]" caption="Soma de VALOR TOTAL (R$) 2" measure="1" displayFolder="" measureGroup="TBConsum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SKU 2]" caption="Soma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SKU 2]" caption="Contagem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CUSTO PEDIDO (R$)]" caption="Contagem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CUSTO PEDIDO (R$)]" caption="Som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istinta de CUSTO PEDIDO (R$)]" caption="Contagem Distint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STATUS COMPRA]" caption="Contagem de STATUS COMPRA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ntagem Distinta de SKU]" caption="Contagem Distint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SKU]" caption="Máx.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4">
    <dimension measure="1" name="Measures" uniqueName="[Measures]" caption="Measures"/>
    <dimension name="TBConsumo" uniqueName="[TBConsumo]" caption="TBConsumo"/>
    <dimension name="TBEstoque" uniqueName="[TBEstoque]" caption="TBEstoque"/>
    <dimension name="TBSuprimentos" uniqueName="[TBSuprimentos]" caption="TBSuprimentos"/>
  </dimensions>
  <measureGroups count="3">
    <measureGroup name="TBConsumo" caption="TBConsumo"/>
    <measureGroup name="TBEstoque" caption="TBEstoque"/>
    <measureGroup name="TBSuprimentos" caption="TBSuprimentos"/>
  </measureGroups>
  <maps count="5">
    <map measureGroup="0" dimension="1"/>
    <map measureGroup="0" dimension="2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ão Gabriel" refreshedDate="46127.832444791668" createdVersion="5" refreshedVersion="7" minRefreshableVersion="3" recordCount="0" supportSubquery="1" supportAdvancedDrill="1" xr:uid="{1D4C0837-D5A9-4E31-AB40-F99A383B732C}">
  <cacheSource type="external" connectionId="1"/>
  <cacheFields count="5">
    <cacheField name="[TBEstoque].[ITEM ESSENCIAL].[ITEM ESSENCIAL]" caption="ITEM ESSENCIAL" numFmtId="0" hierarchy="19" level="1">
      <sharedItems containsSemiMixedTypes="0" containsNonDate="0" containsString="0"/>
    </cacheField>
    <cacheField name="[TBSuprimentos].[STATUS COMPRA].[STATUS COMPRA]" caption="STATUS COMPRA" numFmtId="0" hierarchy="30" level="1">
      <sharedItems count="2">
        <s v="COMPRA IMEDIATA"/>
        <s v="RUPTURA"/>
      </sharedItems>
    </cacheField>
    <cacheField name="[TBSuprimentos].[DESCRIÇÃO].[DESCRIÇÃO]" caption="DESCRIÇÃO" numFmtId="0" hierarchy="26" level="1">
      <sharedItems count="9">
        <s v="AÇÚCAR (UNID) PACOTE 1 KG"/>
        <s v="ÁGUA SANITARIA SUPER CANDIDA GALÃO 5 LTS"/>
        <s v="DESINFETANTE FLORAL GALÃO 5 LTS"/>
        <s v="FOLHA DE SULFITE A4 PACOTE"/>
        <s v="LEITE EM PÓ 400 G (UNID)"/>
        <s v="PANO DE CHÃO BRANCO ALVEJADO (UNI)"/>
        <s v="PAPEL HIGIÊNICO ROLÃO C/ 8 BOBINAS DE 200M (CX)"/>
        <s v="SACO PARA LIXO PRETO 100L (PCT)"/>
        <s v="VEJA MULTIUSO (UNI)"/>
      </sharedItems>
    </cacheField>
    <cacheField name="[Measures].[Máx. de SKU]" caption="Máx. de SKU" numFmtId="0" hierarchy="63" level="32767"/>
    <cacheField name="[TBSuprimentos].[CUSTO PEDIDO (R$)].[CUSTO PEDIDO (R$)]" caption="CUSTO PEDIDO (R$)" numFmtId="0" hierarchy="34" level="1">
      <sharedItems count="9">
        <s v="340,98"/>
        <s v="397,44"/>
        <s v="1.467,98"/>
        <s v="1.489,02"/>
        <s v="5.520,00"/>
        <s v="451,95"/>
        <s v="15.029,35"/>
        <s v="2.691,00"/>
        <s v="274,28"/>
      </sharedItems>
    </cacheField>
  </cacheFields>
  <cacheHierarchies count="64">
    <cacheHierarchy uniqueName="[TBConsumo].[ID PEDIDO]" caption="ID PEDIDO" attribute="1" defaultMemberUniqueName="[TBConsumo].[ID PEDIDO].[All]" allUniqueName="[TBConsumo].[ID PEDIDO].[All]" dimensionUniqueName="[TBConsumo]" displayFolder="" count="0" memberValueDatatype="130" unbalanced="0"/>
    <cacheHierarchy uniqueName="[TBConsumo].[SKU]" caption="SKU" attribute="1" defaultMemberUniqueName="[TBConsumo].[SKU].[All]" allUniqueName="[TBConsumo].[SKU].[All]" dimensionUniqueName="[TBConsumo]" displayFolder="" count="0" memberValueDatatype="20" unbalanced="0"/>
    <cacheHierarchy uniqueName="[TBConsumo].[CATEGÓRIA]" caption="CATEGÓRIA" attribute="1" defaultMemberUniqueName="[TBConsumo].[CATEGÓRIA].[All]" allUniqueName="[TBConsumo].[CATEGÓRIA].[All]" dimensionUniqueName="[TBConsumo]" displayFolder="" count="0" memberValueDatatype="130" unbalanced="0"/>
    <cacheHierarchy uniqueName="[TBConsumo].[DESCRIÇÃO]" caption="DESCRIÇÃO" attribute="1" defaultMemberUniqueName="[TBConsumo].[DESCRIÇÃO].[All]" allUniqueName="[TBConsumo].[DESCRIÇÃO].[All]" dimensionUniqueName="[TBConsumo]" displayFolder="" count="0" memberValueDatatype="130" unbalanced="0"/>
    <cacheHierarchy uniqueName="[TBConsumo].[QTDE SOLICITADA]" caption="QTDE SOLICITADA" attribute="1" defaultMemberUniqueName="[TBConsumo].[QTDE SOLICITADA].[All]" allUniqueName="[TBConsumo].[QTDE SOLICITADA].[All]" dimensionUniqueName="[TBConsumo]" displayFolder="" count="0" memberValueDatatype="20" unbalanced="0"/>
    <cacheHierarchy uniqueName="[TBConsumo].[UNID. MEDIDA]" caption="UNID. MEDIDA" attribute="1" defaultMemberUniqueName="[TBConsumo].[UNID. MEDIDA].[All]" allUniqueName="[TBConsumo].[UNID. MEDIDA].[All]" dimensionUniqueName="[TBConsumo]" displayFolder="" count="0" memberValueDatatype="130" unbalanced="0"/>
    <cacheHierarchy uniqueName="[TBConsumo].[UNID. DESTINO]" caption="UNID. DESTINO" attribute="1" defaultMemberUniqueName="[TBConsumo].[UNID. DESTINO].[All]" allUniqueName="[TBConsumo].[UNID. DESTINO].[All]" dimensionUniqueName="[TBConsumo]" displayFolder="" count="0" memberValueDatatype="130" unbalanced="0"/>
    <cacheHierarchy uniqueName="[TBConsumo].[SOLICITANTE]" caption="SOLICITANTE" attribute="1" defaultMemberUniqueName="[TBConsumo].[SOLICITANTE].[All]" allUniqueName="[TBConsumo].[SOLICITANTE].[All]" dimensionUniqueName="[TBConsumo]" displayFolder="" count="0" memberValueDatatype="130" unbalanced="0"/>
    <cacheHierarchy uniqueName="[TBConsumo].[DATA SOLICITADA]" caption="DATA SOLICITADA" attribute="1" time="1" defaultMemberUniqueName="[TBConsumo].[DATA SOLICITADA].[All]" allUniqueName="[TBConsumo].[DATA SOLICITADA].[All]" dimensionUniqueName="[TBConsumo]" displayFolder="" count="0" memberValueDatatype="7" unbalanced="0"/>
    <cacheHierarchy uniqueName="[TBConsumo].[DATA MOVIMENTADA]" caption="DATA MOVIMENTADA" attribute="1" time="1" defaultMemberUniqueName="[TBConsumo].[DATA MOVIMENTADA].[All]" allUniqueName="[TBConsumo].[DATA MOVIMENTADA].[All]" dimensionUniqueName="[TBConsumo]" displayFolder="" count="0" memberValueDatatype="7" unbalanced="0"/>
    <cacheHierarchy uniqueName="[TBConsumo].[LEAD TIME (DIAS)]" caption="LEAD TIME (DIAS)" attribute="1" defaultMemberUniqueName="[TBConsumo].[LEAD TIME (DIAS)].[All]" allUniqueName="[TBConsumo].[LEAD TIME (DIAS)].[All]" dimensionUniqueName="[TBConsumo]" displayFolder="" count="0" memberValueDatatype="130" unbalanced="0"/>
    <cacheHierarchy uniqueName="[TBConsumo].[VALOR TOTAL (R$)]" caption="VALOR TOTAL (R$)" attribute="1" defaultMemberUniqueName="[TBConsumo].[VALOR TOTAL (R$)].[All]" allUniqueName="[TBConsumo].[VALOR TOTAL (R$)].[All]" dimensionUniqueName="[TBConsumo]" displayFolder="" count="0" memberValueDatatype="5" unbalanced="0"/>
    <cacheHierarchy uniqueName="[TBEstoque].[SKU]" caption="SKU" attribute="1" defaultMemberUniqueName="[TBEstoque].[SKU].[All]" allUniqueName="[TBEstoque].[SKU].[All]" dimensionUniqueName="[TBEstoque]" displayFolder="" count="0" memberValueDatatype="20" unbalanced="0"/>
    <cacheHierarchy uniqueName="[TBEstoque].[CATEGÓRIA]" caption="CATEGÓRIA" attribute="1" defaultMemberUniqueName="[TBEstoque].[CATEGÓRIA].[All]" allUniqueName="[TBEstoque].[CATEGÓRIA].[All]" dimensionUniqueName="[TBEstoque]" displayFolder="" count="0" memberValueDatatype="130" unbalanced="0"/>
    <cacheHierarchy uniqueName="[TBEstoque].[DESCRIÇÃO]" caption="DESCRIÇÃO" attribute="1" defaultMemberUniqueName="[TBEstoque].[DESCRIÇÃO].[All]" allUniqueName="[TBEstoque].[DESCRIÇÃO].[All]" dimensionUniqueName="[TBEstoque]" displayFolder="" count="0" memberValueDatatype="130" unbalanced="0"/>
    <cacheHierarchy uniqueName="[TBEstoque].[UNID. MEDIDA]" caption="UNID. MEDIDA" attribute="1" defaultMemberUniqueName="[TBEstoque].[UNID. MEDIDA].[All]" allUniqueName="[TBEstoque].[UNID. MEDIDA].[All]" dimensionUniqueName="[TBEstoque]" displayFolder="" count="0" memberValueDatatype="130" unbalanced="0"/>
    <cacheHierarchy uniqueName="[TBEstoque].[ESTOQUE ATUAL]" caption="ESTOQUE ATUAL" attribute="1" defaultMemberUniqueName="[TBEstoque].[ESTOQUE ATUAL].[All]" allUniqueName="[TBEstoque].[ESTOQUE ATUAL].[All]" dimensionUniqueName="[TBEstoque]" displayFolder="" count="0" memberValueDatatype="20" unbalanced="0"/>
    <cacheHierarchy uniqueName="[TBEstoque].[CONSUMO MÉDIO MENSAL]" caption="CONSUMO MÉDIO MENSAL" attribute="1" defaultMemberUniqueName="[TBEstoque].[CONSUMO MÉDIO MENSAL].[All]" allUniqueName="[TBEstoque].[CONSUMO MÉDIO MENSAL].[All]" dimensionUniqueName="[TBEstoque]" displayFolder="" count="0" memberValueDatatype="20" unbalanced="0"/>
    <cacheHierarchy uniqueName="[TBEstoque].[CURVA ABC]" caption="CURVA ABC" attribute="1" defaultMemberUniqueName="[TBEstoque].[CURVA ABC].[All]" allUniqueName="[TBEstoque].[CURVA ABC].[All]" dimensionUniqueName="[TBEstoque]" displayFolder="" count="0" memberValueDatatype="130" unbalanced="0"/>
    <cacheHierarchy uniqueName="[TBEstoque].[ITEM ESSENCIAL]" caption="ITEM ESSENCIAL" attribute="1" defaultMemberUniqueName="[TBEstoque].[ITEM ESSENCIAL].[All]" allUniqueName="[TBEstoque].[ITEM ESSENCIAL].[All]" dimensionUniqueName="[TBEstoque]" displayFolder="" count="2" memberValueDatatype="130" unbalanced="0">
      <fieldsUsage count="2">
        <fieldUsage x="-1"/>
        <fieldUsage x="0"/>
      </fieldsUsage>
    </cacheHierarchy>
    <cacheHierarchy uniqueName="[TBEstoque].[VALOR UNIT. (R$)]" caption="VALOR UNIT. (R$)" attribute="1" defaultMemberUniqueName="[TBEstoque].[VALOR UNIT. (R$)].[All]" allUniqueName="[TBEstoque].[VALOR UNIT. (R$)].[All]" dimensionUniqueName="[TBEstoque]" displayFolder="" count="0" memberValueDatatype="5" unbalanced="0"/>
    <cacheHierarchy uniqueName="[TBEstoque].[VALOR TOTAL (R$)]" caption="VALOR TOTAL (R$)" attribute="1" defaultMemberUniqueName="[TBEstoque].[VALOR TOTAL (R$)].[All]" allUniqueName="[TBEstoque].[VALOR TOTAL (R$)].[All]" dimensionUniqueName="[TBEstoque]" displayFolder="" count="0" memberValueDatatype="5" unbalanced="0"/>
    <cacheHierarchy uniqueName="[TBEstoque].[NF-e]" caption="NF-e" attribute="1" defaultMemberUniqueName="[TBEstoque].[NF-e].[All]" allUniqueName="[TBEstoque].[NF-e].[All]" dimensionUniqueName="[TBEstoque]" displayFolder="" count="0" memberValueDatatype="20" unbalanced="0"/>
    <cacheHierarchy uniqueName="[TBEstoque].[FORNECEDOR]" caption="FORNECEDOR" attribute="1" defaultMemberUniqueName="[TBEstoque].[FORNECEDOR].[All]" allUniqueName="[TBEstoque].[FORNECEDOR].[All]" dimensionUniqueName="[TBEstoque]" displayFolder="" count="0" memberValueDatatype="130" unbalanced="0"/>
    <cacheHierarchy uniqueName="[TBSuprimentos].[SKU]" caption="SKU" attribute="1" defaultMemberUniqueName="[TBSuprimentos].[SKU].[All]" allUniqueName="[TBSuprimentos].[SKU].[All]" dimensionUniqueName="[TBSuprimentos]" displayFolder="" count="0" memberValueDatatype="20" unbalanced="0"/>
    <cacheHierarchy uniqueName="[TBSuprimentos].[CATEGÓRIA]" caption="CATEGÓRIA" attribute="1" defaultMemberUniqueName="[TBSuprimentos].[CATEGÓRIA].[All]" allUniqueName="[TBSuprimentos].[CATEGÓRIA].[All]" dimensionUniqueName="[TBSuprimentos]" displayFolder="" count="0" memberValueDatatype="130" unbalanced="0"/>
    <cacheHierarchy uniqueName="[TBSuprimentos].[DESCRIÇÃO]" caption="DESCRIÇÃO" attribute="1" defaultMemberUniqueName="[TBSuprimentos].[DESCRIÇÃO].[All]" allUniqueName="[TBSuprimentos].[DESCRIÇÃO].[All]" dimensionUniqueName="[TBSuprimentos]" displayFolder="" count="2" memberValueDatatype="130" unbalanced="0">
      <fieldsUsage count="2">
        <fieldUsage x="-1"/>
        <fieldUsage x="2"/>
      </fieldsUsage>
    </cacheHierarchy>
    <cacheHierarchy uniqueName="[TBSuprimentos].[UNID. MEDIDA]" caption="UNID. MEDIDA" attribute="1" defaultMemberUniqueName="[TBSuprimentos].[UNID. MEDIDA].[All]" allUniqueName="[TBSuprimentos].[UNID. MEDIDA].[All]" dimensionUniqueName="[TBSuprimentos]" displayFolder="" count="0" memberValueDatatype="130" unbalanced="0"/>
    <cacheHierarchy uniqueName="[TBSuprimentos].[ESTOQUE ATUAL]" caption="ESTOQUE ATUAL" attribute="1" defaultMemberUniqueName="[TBSuprimentos].[ESTOQUE ATUAL].[All]" allUniqueName="[TBSuprimentos].[ESTOQUE ATUAL].[All]" dimensionUniqueName="[TBSuprimentos]" displayFolder="" count="0" memberValueDatatype="20" unbalanced="0"/>
    <cacheHierarchy uniqueName="[TBSuprimentos].[MÉDIA CONSUMO]" caption="MÉDIA CONSUMO" attribute="1" defaultMemberUniqueName="[TBSuprimentos].[MÉDIA CONSUMO].[All]" allUniqueName="[TBSuprimentos].[MÉDIA CONSUMO].[All]" dimensionUniqueName="[TBSuprimentos]" displayFolder="" count="0" memberValueDatatype="20" unbalanced="0"/>
    <cacheHierarchy uniqueName="[TBSuprimentos].[STATUS COMPRA]" caption="STATUS COMPRA" attribute="1" defaultMemberUniqueName="[TBSuprimentos].[STATUS COMPRA].[All]" allUniqueName="[TBSuprimentos].[STATUS COMPRA].[All]" dimensionUniqueName="[TBSuprimentos]" displayFolder="" count="2" memberValueDatatype="130" unbalanced="0">
      <fieldsUsage count="2">
        <fieldUsage x="-1"/>
        <fieldUsage x="1"/>
      </fieldsUsage>
    </cacheHierarchy>
    <cacheHierarchy uniqueName="[TBSuprimentos].[FATOR EMBALAGEM]" caption="FATOR EMBALAGEM" attribute="1" defaultMemberUniqueName="[TBSuprimentos].[FATOR EMBALAGEM].[All]" allUniqueName="[TBSuprimentos].[FATOR EMBALAGEM].[All]" dimensionUniqueName="[TBSuprimentos]" displayFolder="" count="0" memberValueDatatype="20" unbalanced="0"/>
    <cacheHierarchy uniqueName="[TBSuprimentos].[FATOR MEDIDA]" caption="FATOR MEDIDA" attribute="1" defaultMemberUniqueName="[TBSuprimentos].[FATOR MEDIDA].[All]" allUniqueName="[TBSuprimentos].[FATOR MEDIDA].[All]" dimensionUniqueName="[TBSuprimentos]" displayFolder="" count="0" memberValueDatatype="130" unbalanced="0"/>
    <cacheHierarchy uniqueName="[TBSuprimentos].[SUGESTÃO QTDE]" caption="SUGESTÃO QTDE" attribute="1" defaultMemberUniqueName="[TBSuprimentos].[SUGESTÃO QTDE].[All]" allUniqueName="[TBSuprimentos].[SUGESTÃO QTDE].[All]" dimensionUniqueName="[TBSuprimentos]" displayFolder="" count="0" memberValueDatatype="130" unbalanced="0"/>
    <cacheHierarchy uniqueName="[TBSuprimentos].[CUSTO PEDIDO (R$)]" caption="CUSTO PEDIDO (R$)" attribute="1" defaultMemberUniqueName="[TBSuprimentos].[CUSTO PEDIDO (R$)].[All]" allUniqueName="[TBSuprimentos].[CUSTO PEDIDO (R$)].[All]" dimensionUniqueName="[TBSuprimentos]" displayFolder="" count="2" memberValueDatatype="130" unbalanced="0">
      <fieldsUsage count="2">
        <fieldUsage x="-1"/>
        <fieldUsage x="4"/>
      </fieldsUsage>
    </cacheHierarchy>
    <cacheHierarchy uniqueName="[TBSuprimentos].[DATA SOLICITADA]" caption="DATA SOLICITADA" attribute="1" time="1" defaultMemberUniqueName="[TBSuprimentos].[DATA SOLICITADA].[All]" allUniqueName="[TBSuprimentos].[DATA SOLICITADA].[All]" dimensionUniqueName="[TBSuprimentos]" displayFolder="" count="0" memberValueDatatype="7" unbalanced="0"/>
    <cacheHierarchy uniqueName="[TBSuprimentos].[PRAZO FORNECEDOR (DIAS)]" caption="PRAZO FORNECEDOR (DIAS)" attribute="1" defaultMemberUniqueName="[TBSuprimentos].[PRAZO FORNECEDOR (DIAS)].[All]" allUniqueName="[TBSuprimentos].[PRAZO FORNECEDOR (DIAS)].[All]" dimensionUniqueName="[TBSuprimentos]" displayFolder="" count="0" memberValueDatatype="20" unbalanced="0"/>
    <cacheHierarchy uniqueName="[TBSuprimentos].[LEAD TIME ALVO]" caption="LEAD TIME ALVO" attribute="1" defaultMemberUniqueName="[TBSuprimentos].[LEAD TIME ALVO].[All]" allUniqueName="[TBSuprimentos].[LEAD TIME ALVO].[All]" dimensionUniqueName="[TBSuprimentos]" displayFolder="" count="0" memberValueDatatype="130" unbalanced="0"/>
    <cacheHierarchy uniqueName="[TBSuprimentos].[DATA ENTREGA (REAL)]" caption="DATA ENTREGA (REAL)" attribute="1" defaultMemberUniqueName="[TBSuprimentos].[DATA ENTREGA (REAL)].[All]" allUniqueName="[TBSuprimentos].[DATA ENTREGA (REAL)].[All]" dimensionUniqueName="[TBSuprimentos]" displayFolder="" count="0" memberValueDatatype="130" unbalanced="0"/>
    <cacheHierarchy uniqueName="[TBSuprimentos].[FORNECEDOR]" caption="FORNECEDOR" attribute="1" defaultMemberUniqueName="[TBSuprimentos].[FORNECEDOR].[All]" allUniqueName="[TBSuprimentos].[FORNECEDOR].[All]" dimensionUniqueName="[TBSuprimentos]" displayFolder="" count="0" memberValueDatatype="130" unbalanced="0"/>
    <cacheHierarchy uniqueName="[Measures].[Nivel_Servico_Essenciais]" caption="Nivel_Servico_Essenciais" measure="1" displayFolder="" measureGroup="TBEstoque" count="0"/>
    <cacheHierarchy uniqueName="[Measures].[Cobertura_Estoque_Dias]" caption="Cobertura_Estoque_Dias" measure="1" displayFolder="" measureGroup="TBEstoque" count="0"/>
    <cacheHierarchy uniqueName="[Measures].[Aderencia_Consumo_Percentual]" caption="Aderencia_Consumo_Percentual" measure="1" displayFolder="" measureGroup="TBEstoque" count="0"/>
    <cacheHierarchy uniqueName="[Measures].[Capital_Imobilizado_Critico]" caption="Capital_Imobilizado_Critico" measure="1" displayFolder="" measureGroup="TBEstoque" count="0"/>
    <cacheHierarchy uniqueName="[Measures].[Saving_Estimado_Excesso]" caption="Saving_Estimado_Excesso" measure="1" displayFolder="" measureGroup="TBEstoque" count="0"/>
    <cacheHierarchy uniqueName="[Measures].[__XL_Count TBEstoque]" caption="__XL_Count TBEstoque" measure="1" displayFolder="" measureGroup="TBEstoque" count="0" hidden="1"/>
    <cacheHierarchy uniqueName="[Measures].[__XL_Count TBConsumo]" caption="__XL_Count TBConsumo" measure="1" displayFolder="" measureGroup="TBConsumo" count="0" hidden="1"/>
    <cacheHierarchy uniqueName="[Measures].[__XL_Count TBSuprimentos]" caption="__XL_Count TBSuprimentos" measure="1" displayFolder="" measureGroup="TBSuprimentos" count="0" hidden="1"/>
    <cacheHierarchy uniqueName="[Measures].[__Não há medidas definidas]" caption="__Não há medidas definidas" measure="1" displayFolder="" count="0" hidden="1"/>
    <cacheHierarchy uniqueName="[Measures].[Soma de VALOR TOTAL (R$)]" caption="Soma de VALOR TOTAL (R$)" measure="1" displayFolder="" measureGroup="TBEstoqu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SUGESTÃO QTDE]" caption="Contagem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ntagem Distinta de SUGESTÃO QTDE]" caption="Contagem Distint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SKU]" caption="Som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SKU]" caption="Contagem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SUGESTÃO QTDE]" caption="Som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VALOR TOTAL (R$) 2]" caption="Soma de VALOR TOTAL (R$) 2" measure="1" displayFolder="" measureGroup="TBConsum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SKU 2]" caption="Soma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SKU 2]" caption="Contagem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CUSTO PEDIDO (R$)]" caption="Contagem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CUSTO PEDIDO (R$)]" caption="Som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istinta de CUSTO PEDIDO (R$)]" caption="Contagem Distint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STATUS COMPRA]" caption="Contagem de STATUS COMPRA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ntagem Distinta de SKU]" caption="Contagem Distint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SKU]" caption="Máx. de SKU" measure="1" displayFolder="" measureGroup="TBSuprimento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4">
    <dimension measure="1" name="Measures" uniqueName="[Measures]" caption="Measures"/>
    <dimension name="TBConsumo" uniqueName="[TBConsumo]" caption="TBConsumo"/>
    <dimension name="TBEstoque" uniqueName="[TBEstoque]" caption="TBEstoque"/>
    <dimension name="TBSuprimentos" uniqueName="[TBSuprimentos]" caption="TBSuprimentos"/>
  </dimensions>
  <measureGroups count="3">
    <measureGroup name="TBConsumo" caption="TBConsumo"/>
    <measureGroup name="TBEstoque" caption="TBEstoque"/>
    <measureGroup name="TBSuprimentos" caption="TBSuprimentos"/>
  </measureGroups>
  <maps count="5">
    <map measureGroup="0" dimension="1"/>
    <map measureGroup="0" dimension="2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ão Gabriel" refreshedDate="46131.907442013886" createdVersion="5" refreshedVersion="7" minRefreshableVersion="3" recordCount="0" supportSubquery="1" supportAdvancedDrill="1" xr:uid="{483A5BE8-54FC-4BBA-97B2-930863492F02}">
  <cacheSource type="external" connectionId="1"/>
  <cacheFields count="5">
    <cacheField name="[TBSuprimentos].[STATUS COMPRA].[STATUS COMPRA]" caption="STATUS COMPRA" numFmtId="0" hierarchy="30" level="1">
      <sharedItems count="2">
        <s v="COMPRA IMEDIATA"/>
        <s v="RUPTURA"/>
      </sharedItems>
    </cacheField>
    <cacheField name="[TBConsumo].[CATEGÓRIA].[CATEGÓRIA]" caption="CATEGÓRIA" numFmtId="0" hierarchy="2" level="1">
      <sharedItems containsSemiMixedTypes="0" containsNonDate="0" containsString="0"/>
    </cacheField>
    <cacheField name="[TBConsumo].[SOLICITANTE].[SOLICITANTE]" caption="SOLICITANTE" numFmtId="0" hierarchy="7" level="1">
      <sharedItems count="21">
        <s v="Almoxarife Jr"/>
        <s v="Analista Financeiro"/>
        <s v="Assistente Administrativo 01"/>
        <s v="Assistente Administrativo 02"/>
        <s v="Assistente Administrativo 03"/>
        <s v="Assistente Administrativo 04"/>
        <s v="Auxiliar de Recebimento"/>
        <s v="Auxiliar Operacional 01"/>
        <s v="Auxiliar Operacional 02"/>
        <s v="Auxiliar Operacional 03"/>
        <s v="Conferente de Carga"/>
        <s v="Farmacêutico Pleno 01"/>
        <s v="Farmacêutico Pleno 02"/>
        <s v="Farmacêutico Pleno 03"/>
        <s v="Farmacêutico Pleno 04"/>
        <s v="Farmacêutico Pleno 05"/>
        <s v="Gestor de Inventário"/>
        <s v="Líder de Equipe 01"/>
        <s v="Líder de Equipe 02"/>
        <s v="Líder de Equipe 03"/>
        <s v="Secretária Executiva"/>
      </sharedItems>
    </cacheField>
    <cacheField name="[TBConsumo].[UNID. DESTINO].[UNID. DESTINO]" caption="UNID. DESTINO" numFmtId="0" hierarchy="6" level="1">
      <sharedItems count="11">
        <s v="Planta Industrial - Suprimentos"/>
        <s v="Escritório Apoio - Gestão"/>
        <s v="Farmácia Principal - Unidade 01"/>
        <s v="Farmácia Satélite - Unidade 05"/>
        <s v="Farmácia Satélite - Unidade 03"/>
        <s v="CD Logística - Regional ABC"/>
        <s v="Almoxarifado Central"/>
        <s v="Farmácia Satélite - Unidade 02"/>
        <s v="Farmácia Satélite - Unidade 04"/>
        <s v="Centro de Distribuição - Áragon"/>
        <s v="Escritório Central - Sede"/>
      </sharedItems>
    </cacheField>
    <cacheField name="[Measures].[Soma de VALOR TOTAL (R$) 2]" caption="Soma de VALOR TOTAL (R$) 2" numFmtId="0" hierarchy="55" level="32767"/>
  </cacheFields>
  <cacheHierarchies count="64">
    <cacheHierarchy uniqueName="[TBConsumo].[ID PEDIDO]" caption="ID PEDIDO" attribute="1" defaultMemberUniqueName="[TBConsumo].[ID PEDIDO].[All]" allUniqueName="[TBConsumo].[ID PEDIDO].[All]" dimensionUniqueName="[TBConsumo]" displayFolder="" count="0" memberValueDatatype="130" unbalanced="0"/>
    <cacheHierarchy uniqueName="[TBConsumo].[SKU]" caption="SKU" attribute="1" defaultMemberUniqueName="[TBConsumo].[SKU].[All]" allUniqueName="[TBConsumo].[SKU].[All]" dimensionUniqueName="[TBConsumo]" displayFolder="" count="0" memberValueDatatype="20" unbalanced="0"/>
    <cacheHierarchy uniqueName="[TBConsumo].[CATEGÓRIA]" caption="CATEGÓRIA" attribute="1" defaultMemberUniqueName="[TBConsumo].[CATEGÓRIA].[All]" allUniqueName="[TBConsumo].[CATEGÓRIA].[All]" dimensionUniqueName="[TBConsumo]" displayFolder="" count="2" memberValueDatatype="130" unbalanced="0">
      <fieldsUsage count="2">
        <fieldUsage x="-1"/>
        <fieldUsage x="1"/>
      </fieldsUsage>
    </cacheHierarchy>
    <cacheHierarchy uniqueName="[TBConsumo].[DESCRIÇÃO]" caption="DESCRIÇÃO" attribute="1" defaultMemberUniqueName="[TBConsumo].[DESCRIÇÃO].[All]" allUniqueName="[TBConsumo].[DESCRIÇÃO].[All]" dimensionUniqueName="[TBConsumo]" displayFolder="" count="0" memberValueDatatype="130" unbalanced="0"/>
    <cacheHierarchy uniqueName="[TBConsumo].[QTDE SOLICITADA]" caption="QTDE SOLICITADA" attribute="1" defaultMemberUniqueName="[TBConsumo].[QTDE SOLICITADA].[All]" allUniqueName="[TBConsumo].[QTDE SOLICITADA].[All]" dimensionUniqueName="[TBConsumo]" displayFolder="" count="0" memberValueDatatype="20" unbalanced="0"/>
    <cacheHierarchy uniqueName="[TBConsumo].[UNID. MEDIDA]" caption="UNID. MEDIDA" attribute="1" defaultMemberUniqueName="[TBConsumo].[UNID. MEDIDA].[All]" allUniqueName="[TBConsumo].[UNID. MEDIDA].[All]" dimensionUniqueName="[TBConsumo]" displayFolder="" count="0" memberValueDatatype="130" unbalanced="0"/>
    <cacheHierarchy uniqueName="[TBConsumo].[UNID. DESTINO]" caption="UNID. DESTINO" attribute="1" defaultMemberUniqueName="[TBConsumo].[UNID. DESTINO].[All]" allUniqueName="[TBConsumo].[UNID. DESTINO].[All]" dimensionUniqueName="[TBConsumo]" displayFolder="" count="2" memberValueDatatype="130" unbalanced="0">
      <fieldsUsage count="2">
        <fieldUsage x="-1"/>
        <fieldUsage x="3"/>
      </fieldsUsage>
    </cacheHierarchy>
    <cacheHierarchy uniqueName="[TBConsumo].[SOLICITANTE]" caption="SOLICITANTE" attribute="1" defaultMemberUniqueName="[TBConsumo].[SOLICITANTE].[All]" allUniqueName="[TBConsumo].[SOLICITANTE].[All]" dimensionUniqueName="[TBConsumo]" displayFolder="" count="2" memberValueDatatype="130" unbalanced="0">
      <fieldsUsage count="2">
        <fieldUsage x="-1"/>
        <fieldUsage x="2"/>
      </fieldsUsage>
    </cacheHierarchy>
    <cacheHierarchy uniqueName="[TBConsumo].[DATA SOLICITADA]" caption="DATA SOLICITADA" attribute="1" time="1" defaultMemberUniqueName="[TBConsumo].[DATA SOLICITADA].[All]" allUniqueName="[TBConsumo].[DATA SOLICITADA].[All]" dimensionUniqueName="[TBConsumo]" displayFolder="" count="0" memberValueDatatype="7" unbalanced="0"/>
    <cacheHierarchy uniqueName="[TBConsumo].[DATA MOVIMENTADA]" caption="DATA MOVIMENTADA" attribute="1" time="1" defaultMemberUniqueName="[TBConsumo].[DATA MOVIMENTADA].[All]" allUniqueName="[TBConsumo].[DATA MOVIMENTADA].[All]" dimensionUniqueName="[TBConsumo]" displayFolder="" count="0" memberValueDatatype="7" unbalanced="0"/>
    <cacheHierarchy uniqueName="[TBConsumo].[LEAD TIME (DIAS)]" caption="LEAD TIME (DIAS)" attribute="1" defaultMemberUniqueName="[TBConsumo].[LEAD TIME (DIAS)].[All]" allUniqueName="[TBConsumo].[LEAD TIME (DIAS)].[All]" dimensionUniqueName="[TBConsumo]" displayFolder="" count="0" memberValueDatatype="130" unbalanced="0"/>
    <cacheHierarchy uniqueName="[TBConsumo].[VALOR TOTAL (R$)]" caption="VALOR TOTAL (R$)" attribute="1" defaultMemberUniqueName="[TBConsumo].[VALOR TOTAL (R$)].[All]" allUniqueName="[TBConsumo].[VALOR TOTAL (R$)].[All]" dimensionUniqueName="[TBConsumo]" displayFolder="" count="0" memberValueDatatype="5" unbalanced="0"/>
    <cacheHierarchy uniqueName="[TBEstoque].[SKU]" caption="SKU" attribute="1" defaultMemberUniqueName="[TBEstoque].[SKU].[All]" allUniqueName="[TBEstoque].[SKU].[All]" dimensionUniqueName="[TBEstoque]" displayFolder="" count="0" memberValueDatatype="20" unbalanced="0"/>
    <cacheHierarchy uniqueName="[TBEstoque].[CATEGÓRIA]" caption="CATEGÓRIA" attribute="1" defaultMemberUniqueName="[TBEstoque].[CATEGÓRIA].[All]" allUniqueName="[TBEstoque].[CATEGÓRIA].[All]" dimensionUniqueName="[TBEstoque]" displayFolder="" count="0" memberValueDatatype="130" unbalanced="0"/>
    <cacheHierarchy uniqueName="[TBEstoque].[DESCRIÇÃO]" caption="DESCRIÇÃO" attribute="1" defaultMemberUniqueName="[TBEstoque].[DESCRIÇÃO].[All]" allUniqueName="[TBEstoque].[DESCRIÇÃO].[All]" dimensionUniqueName="[TBEstoque]" displayFolder="" count="0" memberValueDatatype="130" unbalanced="0"/>
    <cacheHierarchy uniqueName="[TBEstoque].[UNID. MEDIDA]" caption="UNID. MEDIDA" attribute="1" defaultMemberUniqueName="[TBEstoque].[UNID. MEDIDA].[All]" allUniqueName="[TBEstoque].[UNID. MEDIDA].[All]" dimensionUniqueName="[TBEstoque]" displayFolder="" count="0" memberValueDatatype="130" unbalanced="0"/>
    <cacheHierarchy uniqueName="[TBEstoque].[ESTOQUE ATUAL]" caption="ESTOQUE ATUAL" attribute="1" defaultMemberUniqueName="[TBEstoque].[ESTOQUE ATUAL].[All]" allUniqueName="[TBEstoque].[ESTOQUE ATUAL].[All]" dimensionUniqueName="[TBEstoque]" displayFolder="" count="0" memberValueDatatype="20" unbalanced="0"/>
    <cacheHierarchy uniqueName="[TBEstoque].[CONSUMO MÉDIO MENSAL]" caption="CONSUMO MÉDIO MENSAL" attribute="1" defaultMemberUniqueName="[TBEstoque].[CONSUMO MÉDIO MENSAL].[All]" allUniqueName="[TBEstoque].[CONSUMO MÉDIO MENSAL].[All]" dimensionUniqueName="[TBEstoque]" displayFolder="" count="0" memberValueDatatype="20" unbalanced="0"/>
    <cacheHierarchy uniqueName="[TBEstoque].[CURVA ABC]" caption="CURVA ABC" attribute="1" defaultMemberUniqueName="[TBEstoque].[CURVA ABC].[All]" allUniqueName="[TBEstoque].[CURVA ABC].[All]" dimensionUniqueName="[TBEstoque]" displayFolder="" count="0" memberValueDatatype="130" unbalanced="0"/>
    <cacheHierarchy uniqueName="[TBEstoque].[ITEM ESSENCIAL]" caption="ITEM ESSENCIAL" attribute="1" defaultMemberUniqueName="[TBEstoque].[ITEM ESSENCIAL].[All]" allUniqueName="[TBEstoque].[ITEM ESSENCIAL].[All]" dimensionUniqueName="[TBEstoque]" displayFolder="" count="0" memberValueDatatype="130" unbalanced="0"/>
    <cacheHierarchy uniqueName="[TBEstoque].[VALOR UNIT. (R$)]" caption="VALOR UNIT. (R$)" attribute="1" defaultMemberUniqueName="[TBEstoque].[VALOR UNIT. (R$)].[All]" allUniqueName="[TBEstoque].[VALOR UNIT. (R$)].[All]" dimensionUniqueName="[TBEstoque]" displayFolder="" count="0" memberValueDatatype="5" unbalanced="0"/>
    <cacheHierarchy uniqueName="[TBEstoque].[VALOR TOTAL (R$)]" caption="VALOR TOTAL (R$)" attribute="1" defaultMemberUniqueName="[TBEstoque].[VALOR TOTAL (R$)].[All]" allUniqueName="[TBEstoque].[VALOR TOTAL (R$)].[All]" dimensionUniqueName="[TBEstoque]" displayFolder="" count="0" memberValueDatatype="5" unbalanced="0"/>
    <cacheHierarchy uniqueName="[TBEstoque].[NF-e]" caption="NF-e" attribute="1" defaultMemberUniqueName="[TBEstoque].[NF-e].[All]" allUniqueName="[TBEstoque].[NF-e].[All]" dimensionUniqueName="[TBEstoque]" displayFolder="" count="0" memberValueDatatype="20" unbalanced="0"/>
    <cacheHierarchy uniqueName="[TBEstoque].[FORNECEDOR]" caption="FORNECEDOR" attribute="1" defaultMemberUniqueName="[TBEstoque].[FORNECEDOR].[All]" allUniqueName="[TBEstoque].[FORNECEDOR].[All]" dimensionUniqueName="[TBEstoque]" displayFolder="" count="0" memberValueDatatype="130" unbalanced="0"/>
    <cacheHierarchy uniqueName="[TBSuprimentos].[SKU]" caption="SKU" attribute="1" defaultMemberUniqueName="[TBSuprimentos].[SKU].[All]" allUniqueName="[TBSuprimentos].[SKU].[All]" dimensionUniqueName="[TBSuprimentos]" displayFolder="" count="0" memberValueDatatype="20" unbalanced="0"/>
    <cacheHierarchy uniqueName="[TBSuprimentos].[CATEGÓRIA]" caption="CATEGÓRIA" attribute="1" defaultMemberUniqueName="[TBSuprimentos].[CATEGÓRIA].[All]" allUniqueName="[TBSuprimentos].[CATEGÓRIA].[All]" dimensionUniqueName="[TBSuprimentos]" displayFolder="" count="0" memberValueDatatype="130" unbalanced="0"/>
    <cacheHierarchy uniqueName="[TBSuprimentos].[DESCRIÇÃO]" caption="DESCRIÇÃO" attribute="1" defaultMemberUniqueName="[TBSuprimentos].[DESCRIÇÃO].[All]" allUniqueName="[TBSuprimentos].[DESCRIÇÃO].[All]" dimensionUniqueName="[TBSuprimentos]" displayFolder="" count="0" memberValueDatatype="130" unbalanced="0"/>
    <cacheHierarchy uniqueName="[TBSuprimentos].[UNID. MEDIDA]" caption="UNID. MEDIDA" attribute="1" defaultMemberUniqueName="[TBSuprimentos].[UNID. MEDIDA].[All]" allUniqueName="[TBSuprimentos].[UNID. MEDIDA].[All]" dimensionUniqueName="[TBSuprimentos]" displayFolder="" count="0" memberValueDatatype="130" unbalanced="0"/>
    <cacheHierarchy uniqueName="[TBSuprimentos].[ESTOQUE ATUAL]" caption="ESTOQUE ATUAL" attribute="1" defaultMemberUniqueName="[TBSuprimentos].[ESTOQUE ATUAL].[All]" allUniqueName="[TBSuprimentos].[ESTOQUE ATUAL].[All]" dimensionUniqueName="[TBSuprimentos]" displayFolder="" count="0" memberValueDatatype="20" unbalanced="0"/>
    <cacheHierarchy uniqueName="[TBSuprimentos].[MÉDIA CONSUMO]" caption="MÉDIA CONSUMO" attribute="1" defaultMemberUniqueName="[TBSuprimentos].[MÉDIA CONSUMO].[All]" allUniqueName="[TBSuprimentos].[MÉDIA CONSUMO].[All]" dimensionUniqueName="[TBSuprimentos]" displayFolder="" count="0" memberValueDatatype="20" unbalanced="0"/>
    <cacheHierarchy uniqueName="[TBSuprimentos].[STATUS COMPRA]" caption="STATUS COMPRA" attribute="1" defaultMemberUniqueName="[TBSuprimentos].[STATUS COMPRA].[All]" allUniqueName="[TBSuprimentos].[STATUS COMPRA].[All]" dimensionUniqueName="[TBSuprimentos]" displayFolder="" count="2" memberValueDatatype="130" unbalanced="0">
      <fieldsUsage count="2">
        <fieldUsage x="-1"/>
        <fieldUsage x="0"/>
      </fieldsUsage>
    </cacheHierarchy>
    <cacheHierarchy uniqueName="[TBSuprimentos].[FATOR EMBALAGEM]" caption="FATOR EMBALAGEM" attribute="1" defaultMemberUniqueName="[TBSuprimentos].[FATOR EMBALAGEM].[All]" allUniqueName="[TBSuprimentos].[FATOR EMBALAGEM].[All]" dimensionUniqueName="[TBSuprimentos]" displayFolder="" count="0" memberValueDatatype="20" unbalanced="0"/>
    <cacheHierarchy uniqueName="[TBSuprimentos].[FATOR MEDIDA]" caption="FATOR MEDIDA" attribute="1" defaultMemberUniqueName="[TBSuprimentos].[FATOR MEDIDA].[All]" allUniqueName="[TBSuprimentos].[FATOR MEDIDA].[All]" dimensionUniqueName="[TBSuprimentos]" displayFolder="" count="0" memberValueDatatype="130" unbalanced="0"/>
    <cacheHierarchy uniqueName="[TBSuprimentos].[SUGESTÃO QTDE]" caption="SUGESTÃO QTDE" attribute="1" defaultMemberUniqueName="[TBSuprimentos].[SUGESTÃO QTDE].[All]" allUniqueName="[TBSuprimentos].[SUGESTÃO QTDE].[All]" dimensionUniqueName="[TBSuprimentos]" displayFolder="" count="0" memberValueDatatype="130" unbalanced="0"/>
    <cacheHierarchy uniqueName="[TBSuprimentos].[CUSTO PEDIDO (R$)]" caption="CUSTO PEDIDO (R$)" attribute="1" defaultMemberUniqueName="[TBSuprimentos].[CUSTO PEDIDO (R$)].[All]" allUniqueName="[TBSuprimentos].[CUSTO PEDIDO (R$)].[All]" dimensionUniqueName="[TBSuprimentos]" displayFolder="" count="0" memberValueDatatype="130" unbalanced="0"/>
    <cacheHierarchy uniqueName="[TBSuprimentos].[DATA SOLICITADA]" caption="DATA SOLICITADA" attribute="1" time="1" defaultMemberUniqueName="[TBSuprimentos].[DATA SOLICITADA].[All]" allUniqueName="[TBSuprimentos].[DATA SOLICITADA].[All]" dimensionUniqueName="[TBSuprimentos]" displayFolder="" count="0" memberValueDatatype="7" unbalanced="0"/>
    <cacheHierarchy uniqueName="[TBSuprimentos].[PRAZO FORNECEDOR (DIAS)]" caption="PRAZO FORNECEDOR (DIAS)" attribute="1" defaultMemberUniqueName="[TBSuprimentos].[PRAZO FORNECEDOR (DIAS)].[All]" allUniqueName="[TBSuprimentos].[PRAZO FORNECEDOR (DIAS)].[All]" dimensionUniqueName="[TBSuprimentos]" displayFolder="" count="0" memberValueDatatype="20" unbalanced="0"/>
    <cacheHierarchy uniqueName="[TBSuprimentos].[LEAD TIME ALVO]" caption="LEAD TIME ALVO" attribute="1" defaultMemberUniqueName="[TBSuprimentos].[LEAD TIME ALVO].[All]" allUniqueName="[TBSuprimentos].[LEAD TIME ALVO].[All]" dimensionUniqueName="[TBSuprimentos]" displayFolder="" count="0" memberValueDatatype="130" unbalanced="0"/>
    <cacheHierarchy uniqueName="[TBSuprimentos].[DATA ENTREGA (REAL)]" caption="DATA ENTREGA (REAL)" attribute="1" defaultMemberUniqueName="[TBSuprimentos].[DATA ENTREGA (REAL)].[All]" allUniqueName="[TBSuprimentos].[DATA ENTREGA (REAL)].[All]" dimensionUniqueName="[TBSuprimentos]" displayFolder="" count="0" memberValueDatatype="130" unbalanced="0"/>
    <cacheHierarchy uniqueName="[TBSuprimentos].[FORNECEDOR]" caption="FORNECEDOR" attribute="1" defaultMemberUniqueName="[TBSuprimentos].[FORNECEDOR].[All]" allUniqueName="[TBSuprimentos].[FORNECEDOR].[All]" dimensionUniqueName="[TBSuprimentos]" displayFolder="" count="0" memberValueDatatype="130" unbalanced="0"/>
    <cacheHierarchy uniqueName="[Measures].[Nivel_Servico_Essenciais]" caption="Nivel_Servico_Essenciais" measure="1" displayFolder="" measureGroup="TBEstoque" count="0"/>
    <cacheHierarchy uniqueName="[Measures].[Cobertura_Estoque_Dias]" caption="Cobertura_Estoque_Dias" measure="1" displayFolder="" measureGroup="TBEstoque" count="0"/>
    <cacheHierarchy uniqueName="[Measures].[Aderencia_Consumo_Percentual]" caption="Aderencia_Consumo_Percentual" measure="1" displayFolder="" measureGroup="TBEstoque" count="0"/>
    <cacheHierarchy uniqueName="[Measures].[Capital_Imobilizado_Critico]" caption="Capital_Imobilizado_Critico" measure="1" displayFolder="" measureGroup="TBEstoque" count="0"/>
    <cacheHierarchy uniqueName="[Measures].[Saving_Estimado_Excesso]" caption="Saving_Estimado_Excesso" measure="1" displayFolder="" measureGroup="TBEstoque" count="0"/>
    <cacheHierarchy uniqueName="[Measures].[__XL_Count TBEstoque]" caption="__XL_Count TBEstoque" measure="1" displayFolder="" measureGroup="TBEstoque" count="0" hidden="1"/>
    <cacheHierarchy uniqueName="[Measures].[__XL_Count TBConsumo]" caption="__XL_Count TBConsumo" measure="1" displayFolder="" measureGroup="TBConsumo" count="0" hidden="1"/>
    <cacheHierarchy uniqueName="[Measures].[__XL_Count TBSuprimentos]" caption="__XL_Count TBSuprimentos" measure="1" displayFolder="" measureGroup="TBSuprimentos" count="0" hidden="1"/>
    <cacheHierarchy uniqueName="[Measures].[__Não há medidas definidas]" caption="__Não há medidas definidas" measure="1" displayFolder="" count="0" hidden="1"/>
    <cacheHierarchy uniqueName="[Measures].[Soma de VALOR TOTAL (R$)]" caption="Soma de VALOR TOTAL (R$)" measure="1" displayFolder="" measureGroup="TBEstoqu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SUGESTÃO QTDE]" caption="Contagem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ntagem Distinta de SUGESTÃO QTDE]" caption="Contagem Distint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SKU]" caption="Som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SKU]" caption="Contagem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SUGESTÃO QTDE]" caption="Soma de SUGESTÃO QTDE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VALOR TOTAL (R$) 2]" caption="Soma de VALOR TOTAL (R$) 2" measure="1" displayFolder="" measureGroup="TBConsum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SKU 2]" caption="Soma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SKU 2]" caption="Contagem de SKU 2" measure="1" displayFolder="" measureGroup="TBEstoqu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CUSTO PEDIDO (R$)]" caption="Contagem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CUSTO PEDIDO (R$)]" caption="Som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istinta de CUSTO PEDIDO (R$)]" caption="Contagem Distinta de CUSTO PEDIDO (R$)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STATUS COMPRA]" caption="Contagem de STATUS COMPRA" measure="1" displayFolder="" measureGroup="TBSuprimen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ntagem Distinta de SKU]" caption="Contagem Distinta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SKU]" caption="Máx. de SKU" measure="1" displayFolder="" measureGroup="TBSupriment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4">
    <dimension measure="1" name="Measures" uniqueName="[Measures]" caption="Measures"/>
    <dimension name="TBConsumo" uniqueName="[TBConsumo]" caption="TBConsumo"/>
    <dimension name="TBEstoque" uniqueName="[TBEstoque]" caption="TBEstoque"/>
    <dimension name="TBSuprimentos" uniqueName="[TBSuprimentos]" caption="TBSuprimentos"/>
  </dimensions>
  <measureGroups count="3">
    <measureGroup name="TBConsumo" caption="TBConsumo"/>
    <measureGroup name="TBEstoque" caption="TBEstoque"/>
    <measureGroup name="TBSuprimentos" caption="TBSuprimentos"/>
  </measureGroups>
  <maps count="5">
    <map measureGroup="0" dimension="1"/>
    <map measureGroup="0" dimension="2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22D4D-4B28-4CA8-A84C-585A7FF33C33}" name="Tabela dinâmica6" cacheId="2" applyNumberFormats="0" applyBorderFormats="0" applyFontFormats="0" applyPatternFormats="0" applyAlignmentFormats="0" applyWidthHeightFormats="1" dataCaption="Valores" tag="16438024-374e-4a8a-876d-0763abcbfa96" updatedVersion="7" minRefreshableVersion="3" useAutoFormatting="1" itemPrintTitles="1" createdVersion="5" indent="0" outline="1" outlineData="1" multipleFieldFilters="0">
  <location ref="C26:C2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bertura de Estoque (Dias)" fld="0" subtotal="count" baseField="0" baseItem="1991667576" numFmtId="1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outline="0" collapsedLevelsAreSubtotals="1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Nível de Serviço Essencial (%)"/>
    <pivotHierarchy dragToRow="0" dragToCol="0" dragToPage="0" dragToData="1" caption="Cobertura de Estoque (Dias)"/>
    <pivotHierarchy dragToRow="0" dragToCol="0" dragToPage="0" dragToData="1"/>
    <pivotHierarchy dragToRow="0" dragToCol="0" dragToPage="0" dragToData="1" caption="Capital Imobilizado Crítico (R$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Estoqu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126E9-FAC9-4BCB-9B30-1BEAFFBF10FD}" name="Tabela dinâmica5" cacheId="3" applyNumberFormats="0" applyBorderFormats="0" applyFontFormats="0" applyPatternFormats="0" applyAlignmentFormats="0" applyWidthHeightFormats="1" dataCaption="Valores" tag="eb62eb45-6257-4a38-8d9b-29f807c0ce33" updatedVersion="7" minRefreshableVersion="3" useAutoFormatting="1" itemPrintTitles="1" createdVersion="5" indent="0" outline="1" outlineData="1" multipleFieldFilters="0">
  <location ref="C19:C2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apital Imobilizado Crítico (R$)" fld="0" subtotal="count" baseField="0" baseItem="1991667576" numFmtId="4"/>
  </dataFields>
  <formats count="11"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dataOnly="0" labelOnly="1" outline="0" axis="axisValues" fieldPosition="0"/>
    </format>
    <format dxfId="14">
      <pivotArea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  <format dxfId="9">
      <pivotArea outline="0" collapsedLevelsAreSubtotals="1" fieldPosition="0"/>
    </format>
  </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Nível de Serviço Essencial (%)"/>
    <pivotHierarchy dragToRow="0" dragToCol="0" dragToPage="0" dragToData="1"/>
    <pivotHierarchy dragToRow="0" dragToCol="0" dragToPage="0" dragToData="1"/>
    <pivotHierarchy dragToRow="0" dragToCol="0" dragToPage="0" dragToData="1" caption="Capital Imobilizado Crítico (R$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Estoqu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B89A1-E42D-4DFD-943D-BC201C49FBDF}" name="Tabela dinâmica10" cacheId="6" applyNumberFormats="0" applyBorderFormats="0" applyFontFormats="0" applyPatternFormats="0" applyAlignmentFormats="0" applyWidthHeightFormats="1" dataCaption="Valores" tag="09305af1-818f-462b-811f-88eac5b410d6" updatedVersion="7" minRefreshableVersion="3" useAutoFormatting="1" subtotalHiddenItems="1" itemPrintTitles="1" createdVersion="5" indent="0" outline="1" outlineData="1" multipleFieldFilters="0" chartFormat="3" rowHeaderCaption="Descrição">
  <location ref="C103:D146" firstHeaderRow="1" firstDataRow="1" firstDataCol="1" rowPageCount="1" colPageCount="1"/>
  <pivotFields count="5">
    <pivotField allDrilled="1" subtotalTop="0" showAll="0" dataSourceSort="1" defaultSubtotal="0" defaultAttributeDrillState="1">
      <items count="2">
        <item s="1" x="0"/>
        <item s="1" x="1"/>
      </items>
    </pivotField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21">
        <item x="10"/>
        <item x="8"/>
        <item x="6"/>
        <item x="0"/>
        <item x="1"/>
        <item x="20"/>
        <item x="5"/>
        <item x="16"/>
        <item x="11"/>
        <item x="2"/>
        <item x="7"/>
        <item x="4"/>
        <item x="3"/>
        <item x="14"/>
        <item x="19"/>
        <item x="15"/>
        <item x="9"/>
        <item x="13"/>
        <item x="12"/>
        <item x="18"/>
        <item x="17"/>
      </items>
    </pivotField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2"/>
    <field x="3"/>
  </rowFields>
  <rowItems count="43">
    <i>
      <x/>
    </i>
    <i r="1">
      <x v="5"/>
    </i>
    <i>
      <x v="1"/>
    </i>
    <i r="1">
      <x/>
    </i>
    <i>
      <x v="2"/>
    </i>
    <i r="1">
      <x v="5"/>
    </i>
    <i>
      <x v="3"/>
    </i>
    <i r="1">
      <x/>
    </i>
    <i>
      <x v="4"/>
    </i>
    <i r="1">
      <x v="1"/>
    </i>
    <i>
      <x v="5"/>
    </i>
    <i r="1">
      <x v="10"/>
    </i>
    <i>
      <x v="6"/>
    </i>
    <i r="1">
      <x v="4"/>
    </i>
    <i>
      <x v="7"/>
    </i>
    <i r="1">
      <x v="2"/>
    </i>
    <i>
      <x v="8"/>
    </i>
    <i r="1">
      <x v="7"/>
    </i>
    <i>
      <x v="9"/>
    </i>
    <i r="1">
      <x v="2"/>
    </i>
    <i>
      <x v="10"/>
    </i>
    <i r="1">
      <x v="5"/>
    </i>
    <i>
      <x v="11"/>
    </i>
    <i r="1">
      <x v="3"/>
    </i>
    <i>
      <x v="12"/>
    </i>
    <i r="1">
      <x v="2"/>
    </i>
    <i>
      <x v="13"/>
    </i>
    <i r="1">
      <x v="3"/>
    </i>
    <i>
      <x v="14"/>
    </i>
    <i r="1">
      <x v="6"/>
    </i>
    <i>
      <x v="15"/>
    </i>
    <i r="1">
      <x v="4"/>
    </i>
    <i>
      <x v="16"/>
    </i>
    <i r="1">
      <x v="6"/>
    </i>
    <i>
      <x v="17"/>
    </i>
    <i r="1">
      <x v="8"/>
    </i>
    <i>
      <x v="18"/>
    </i>
    <i r="1">
      <x v="4"/>
    </i>
    <i>
      <x v="19"/>
    </i>
    <i r="1">
      <x v="9"/>
    </i>
    <i>
      <x v="20"/>
    </i>
    <i r="1">
      <x v="8"/>
    </i>
    <i t="grand">
      <x/>
    </i>
  </rowItems>
  <colItems count="1">
    <i/>
  </colItems>
  <pageFields count="1">
    <pageField fld="1" hier="2" name="[TBConsumo].[CATEGÓRIA].[All]" cap="All"/>
  </pageFields>
  <dataFields count="1">
    <dataField name="VALOR TOTAL (R$)" fld="4" baseField="2" baseItem="0"/>
  </dataFields>
  <formats count="143">
    <format dxfId="162">
      <pivotArea collapsedLevelsAreSubtotals="1" fieldPosition="0">
        <references count="2">
          <reference field="2" count="1" selected="0">
            <x v="3"/>
          </reference>
          <reference field="3" count="1">
            <x v="0"/>
          </reference>
        </references>
      </pivotArea>
    </format>
    <format dxfId="161">
      <pivotArea collapsedLevelsAreSubtotals="1" fieldPosition="0">
        <references count="1">
          <reference field="2" count="1">
            <x v="4"/>
          </reference>
        </references>
      </pivotArea>
    </format>
    <format dxfId="160">
      <pivotArea collapsedLevelsAreSubtotals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159">
      <pivotArea collapsedLevelsAreSubtotals="1" fieldPosition="0">
        <references count="1">
          <reference field="2" count="1">
            <x v="9"/>
          </reference>
        </references>
      </pivotArea>
    </format>
    <format dxfId="158">
      <pivotArea collapsedLevelsAreSubtotals="1" fieldPosition="0">
        <references count="2">
          <reference field="2" count="1" selected="0">
            <x v="9"/>
          </reference>
          <reference field="3" count="1">
            <x v="2"/>
          </reference>
        </references>
      </pivotArea>
    </format>
    <format dxfId="157">
      <pivotArea collapsedLevelsAreSubtotals="1" fieldPosition="0">
        <references count="1">
          <reference field="2" count="1">
            <x v="12"/>
          </reference>
        </references>
      </pivotArea>
    </format>
    <format dxfId="156">
      <pivotArea collapsedLevelsAreSubtotals="1" fieldPosition="0">
        <references count="2">
          <reference field="2" count="1" selected="0">
            <x v="12"/>
          </reference>
          <reference field="3" count="1">
            <x v="2"/>
          </reference>
        </references>
      </pivotArea>
    </format>
    <format dxfId="155">
      <pivotArea collapsedLevelsAreSubtotals="1" fieldPosition="0">
        <references count="1">
          <reference field="2" count="1">
            <x v="11"/>
          </reference>
        </references>
      </pivotArea>
    </format>
    <format dxfId="154">
      <pivotArea collapsedLevelsAreSubtotals="1" fieldPosition="0">
        <references count="2">
          <reference field="2" count="1" selected="0">
            <x v="11"/>
          </reference>
          <reference field="3" count="1">
            <x v="3"/>
          </reference>
        </references>
      </pivotArea>
    </format>
    <format dxfId="153">
      <pivotArea collapsedLevelsAreSubtotals="1" fieldPosition="0">
        <references count="1">
          <reference field="2" count="1">
            <x v="6"/>
          </reference>
        </references>
      </pivotArea>
    </format>
    <format dxfId="152">
      <pivotArea collapsedLevelsAreSubtotals="1" fieldPosition="0">
        <references count="2">
          <reference field="2" count="1" selected="0">
            <x v="6"/>
          </reference>
          <reference field="3" count="1">
            <x v="4"/>
          </reference>
        </references>
      </pivotArea>
    </format>
    <format dxfId="151">
      <pivotArea collapsedLevelsAreSubtotals="1" fieldPosition="0">
        <references count="1">
          <reference field="2" count="1">
            <x v="2"/>
          </reference>
        </references>
      </pivotArea>
    </format>
    <format dxfId="150">
      <pivotArea collapsedLevelsAreSubtotals="1" fieldPosition="0">
        <references count="2">
          <reference field="2" count="1" selected="0">
            <x v="2"/>
          </reference>
          <reference field="3" count="1">
            <x v="5"/>
          </reference>
        </references>
      </pivotArea>
    </format>
    <format dxfId="149">
      <pivotArea collapsedLevelsAreSubtotals="1" fieldPosition="0">
        <references count="1">
          <reference field="2" count="1">
            <x v="10"/>
          </reference>
        </references>
      </pivotArea>
    </format>
    <format dxfId="148">
      <pivotArea collapsedLevelsAreSubtotals="1" fieldPosition="0">
        <references count="2">
          <reference field="2" count="1" selected="0">
            <x v="10"/>
          </reference>
          <reference field="3" count="1">
            <x v="5"/>
          </reference>
        </references>
      </pivotArea>
    </format>
    <format dxfId="147">
      <pivotArea collapsedLevelsAreSubtotals="1" fieldPosition="0">
        <references count="1">
          <reference field="2" count="1">
            <x v="1"/>
          </reference>
        </references>
      </pivotArea>
    </format>
    <format dxfId="146">
      <pivotArea collapsedLevelsAreSubtotals="1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145">
      <pivotArea collapsedLevelsAreSubtotals="1" fieldPosition="0">
        <references count="1">
          <reference field="2" count="1">
            <x v="16"/>
          </reference>
        </references>
      </pivotArea>
    </format>
    <format dxfId="144">
      <pivotArea collapsedLevelsAreSubtotals="1" fieldPosition="0">
        <references count="2">
          <reference field="2" count="1" selected="0">
            <x v="16"/>
          </reference>
          <reference field="3" count="1">
            <x v="6"/>
          </reference>
        </references>
      </pivotArea>
    </format>
    <format dxfId="143">
      <pivotArea collapsedLevelsAreSubtotals="1" fieldPosition="0">
        <references count="1">
          <reference field="2" count="1">
            <x v="0"/>
          </reference>
        </references>
      </pivotArea>
    </format>
    <format dxfId="142">
      <pivotArea collapsedLevelsAreSubtotals="1" fieldPosition="0">
        <references count="2">
          <reference field="2" count="1" selected="0">
            <x v="0"/>
          </reference>
          <reference field="3" count="1">
            <x v="5"/>
          </reference>
        </references>
      </pivotArea>
    </format>
    <format dxfId="141">
      <pivotArea collapsedLevelsAreSubtotals="1" fieldPosition="0">
        <references count="1">
          <reference field="2" count="1">
            <x v="8"/>
          </reference>
        </references>
      </pivotArea>
    </format>
    <format dxfId="140">
      <pivotArea collapsedLevelsAreSubtotals="1" fieldPosition="0">
        <references count="2">
          <reference field="2" count="1" selected="0">
            <x v="8"/>
          </reference>
          <reference field="3" count="1">
            <x v="7"/>
          </reference>
        </references>
      </pivotArea>
    </format>
    <format dxfId="139">
      <pivotArea collapsedLevelsAreSubtotals="1" fieldPosition="0">
        <references count="1">
          <reference field="2" count="1">
            <x v="18"/>
          </reference>
        </references>
      </pivotArea>
    </format>
    <format dxfId="138">
      <pivotArea collapsedLevelsAreSubtotals="1" fieldPosition="0">
        <references count="2">
          <reference field="2" count="1" selected="0">
            <x v="18"/>
          </reference>
          <reference field="3" count="1">
            <x v="4"/>
          </reference>
        </references>
      </pivotArea>
    </format>
    <format dxfId="137">
      <pivotArea collapsedLevelsAreSubtotals="1" fieldPosition="0">
        <references count="1">
          <reference field="2" count="1">
            <x v="17"/>
          </reference>
        </references>
      </pivotArea>
    </format>
    <format dxfId="136">
      <pivotArea collapsedLevelsAreSubtotals="1" fieldPosition="0">
        <references count="2">
          <reference field="2" count="1" selected="0">
            <x v="17"/>
          </reference>
          <reference field="3" count="1">
            <x v="8"/>
          </reference>
        </references>
      </pivotArea>
    </format>
    <format dxfId="135">
      <pivotArea collapsedLevelsAreSubtotals="1" fieldPosition="0">
        <references count="1">
          <reference field="2" count="1">
            <x v="13"/>
          </reference>
        </references>
      </pivotArea>
    </format>
    <format dxfId="134">
      <pivotArea collapsedLevelsAreSubtotals="1" fieldPosition="0">
        <references count="2">
          <reference field="2" count="1" selected="0">
            <x v="13"/>
          </reference>
          <reference field="3" count="1">
            <x v="3"/>
          </reference>
        </references>
      </pivotArea>
    </format>
    <format dxfId="133">
      <pivotArea collapsedLevelsAreSubtotals="1" fieldPosition="0">
        <references count="1">
          <reference field="2" count="1">
            <x v="15"/>
          </reference>
        </references>
      </pivotArea>
    </format>
    <format dxfId="132">
      <pivotArea collapsedLevelsAreSubtotals="1" fieldPosition="0">
        <references count="2">
          <reference field="2" count="1" selected="0">
            <x v="15"/>
          </reference>
          <reference field="3" count="1">
            <x v="4"/>
          </reference>
        </references>
      </pivotArea>
    </format>
    <format dxfId="131">
      <pivotArea collapsedLevelsAreSubtotals="1" fieldPosition="0">
        <references count="1">
          <reference field="2" count="1">
            <x v="7"/>
          </reference>
        </references>
      </pivotArea>
    </format>
    <format dxfId="130">
      <pivotArea collapsedLevelsAreSubtotals="1" fieldPosition="0">
        <references count="2">
          <reference field="2" count="1" selected="0">
            <x v="7"/>
          </reference>
          <reference field="3" count="1">
            <x v="2"/>
          </reference>
        </references>
      </pivotArea>
    </format>
    <format dxfId="129">
      <pivotArea collapsedLevelsAreSubtotals="1" fieldPosition="0">
        <references count="1">
          <reference field="2" count="1">
            <x v="20"/>
          </reference>
        </references>
      </pivotArea>
    </format>
    <format dxfId="128">
      <pivotArea collapsedLevelsAreSubtotals="1" fieldPosition="0">
        <references count="2">
          <reference field="2" count="1" selected="0">
            <x v="20"/>
          </reference>
          <reference field="3" count="1">
            <x v="8"/>
          </reference>
        </references>
      </pivotArea>
    </format>
    <format dxfId="127">
      <pivotArea collapsedLevelsAreSubtotals="1" fieldPosition="0">
        <references count="1">
          <reference field="2" count="1">
            <x v="19"/>
          </reference>
        </references>
      </pivotArea>
    </format>
    <format dxfId="126">
      <pivotArea collapsedLevelsAreSubtotals="1" fieldPosition="0">
        <references count="2">
          <reference field="2" count="1" selected="0">
            <x v="19"/>
          </reference>
          <reference field="3" count="1">
            <x v="9"/>
          </reference>
        </references>
      </pivotArea>
    </format>
    <format dxfId="125">
      <pivotArea collapsedLevelsAreSubtotals="1" fieldPosition="0">
        <references count="1">
          <reference field="2" count="1">
            <x v="14"/>
          </reference>
        </references>
      </pivotArea>
    </format>
    <format dxfId="124">
      <pivotArea collapsedLevelsAreSubtotals="1" fieldPosition="0">
        <references count="2">
          <reference field="2" count="1" selected="0">
            <x v="14"/>
          </reference>
          <reference field="3" count="1">
            <x v="6"/>
          </reference>
        </references>
      </pivotArea>
    </format>
    <format dxfId="123">
      <pivotArea collapsedLevelsAreSubtotals="1" fieldPosition="0">
        <references count="1">
          <reference field="2" count="1">
            <x v="5"/>
          </reference>
        </references>
      </pivotArea>
    </format>
    <format dxfId="122">
      <pivotArea collapsedLevelsAreSubtotals="1" fieldPosition="0">
        <references count="2">
          <reference field="2" count="1" selected="0">
            <x v="5"/>
          </reference>
          <reference field="3" count="1">
            <x v="10"/>
          </reference>
        </references>
      </pivotArea>
    </format>
    <format dxfId="121">
      <pivotArea grandRow="1" outline="0" collapsedLevelsAreSubtotals="1" fieldPosition="0"/>
    </format>
    <format dxfId="120">
      <pivotArea field="2" type="button" dataOnly="0" labelOnly="1" outline="0" axis="axisRow" fieldPosition="0"/>
    </format>
    <format dxfId="119">
      <pivotArea dataOnly="0" labelOnly="1" outline="0" axis="axisValues" fieldPosition="0"/>
    </format>
    <format dxfId="118">
      <pivotArea field="2" type="button" dataOnly="0" labelOnly="1" outline="0" axis="axisRow" fieldPosition="0"/>
    </format>
    <format dxfId="117">
      <pivotArea dataOnly="0" labelOnly="1" outline="0" axis="axisValues" fieldPosition="0"/>
    </format>
    <format dxfId="116">
      <pivotArea field="2" type="button" dataOnly="0" labelOnly="1" outline="0" axis="axisRow" fieldPosition="0"/>
    </format>
    <format dxfId="115">
      <pivotArea dataOnly="0" labelOnly="1" outline="0" axis="axisValues" fieldPosition="0"/>
    </format>
    <format dxfId="114">
      <pivotArea grandRow="1" outline="0" collapsedLevelsAreSubtotals="1" fieldPosition="0"/>
    </format>
    <format dxfId="113">
      <pivotArea dataOnly="0" labelOnly="1" grandRow="1" outline="0" fieldPosition="0"/>
    </format>
    <format dxfId="112">
      <pivotArea grandRow="1" outline="0" collapsedLevelsAreSubtotals="1" fieldPosition="0"/>
    </format>
    <format dxfId="111">
      <pivotArea dataOnly="0" labelOnly="1" grandRow="1" outline="0" fieldPosition="0"/>
    </format>
    <format dxfId="110">
      <pivotArea collapsedLevelsAreSubtotals="1" fieldPosition="0">
        <references count="1">
          <reference field="2" count="1">
            <x v="3"/>
          </reference>
        </references>
      </pivotArea>
    </format>
    <format dxfId="109">
      <pivotArea collapsedLevelsAreSubtotals="1" fieldPosition="0">
        <references count="2">
          <reference field="2" count="1" selected="0">
            <x v="3"/>
          </reference>
          <reference field="3" count="1">
            <x v="0"/>
          </reference>
        </references>
      </pivotArea>
    </format>
    <format dxfId="108">
      <pivotArea collapsedLevelsAreSubtotals="1" fieldPosition="0">
        <references count="1">
          <reference field="2" count="1">
            <x v="4"/>
          </reference>
        </references>
      </pivotArea>
    </format>
    <format dxfId="107">
      <pivotArea collapsedLevelsAreSubtotals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106">
      <pivotArea collapsedLevelsAreSubtotals="1" fieldPosition="0">
        <references count="1">
          <reference field="2" count="1">
            <x v="9"/>
          </reference>
        </references>
      </pivotArea>
    </format>
    <format dxfId="105">
      <pivotArea collapsedLevelsAreSubtotals="1" fieldPosition="0">
        <references count="2">
          <reference field="2" count="1" selected="0">
            <x v="9"/>
          </reference>
          <reference field="3" count="1">
            <x v="2"/>
          </reference>
        </references>
      </pivotArea>
    </format>
    <format dxfId="104">
      <pivotArea collapsedLevelsAreSubtotals="1" fieldPosition="0">
        <references count="1">
          <reference field="2" count="1">
            <x v="12"/>
          </reference>
        </references>
      </pivotArea>
    </format>
    <format dxfId="103">
      <pivotArea collapsedLevelsAreSubtotals="1" fieldPosition="0">
        <references count="2">
          <reference field="2" count="1" selected="0">
            <x v="12"/>
          </reference>
          <reference field="3" count="1">
            <x v="2"/>
          </reference>
        </references>
      </pivotArea>
    </format>
    <format dxfId="102">
      <pivotArea collapsedLevelsAreSubtotals="1" fieldPosition="0">
        <references count="1">
          <reference field="2" count="1">
            <x v="11"/>
          </reference>
        </references>
      </pivotArea>
    </format>
    <format dxfId="101">
      <pivotArea collapsedLevelsAreSubtotals="1" fieldPosition="0">
        <references count="2">
          <reference field="2" count="1" selected="0">
            <x v="11"/>
          </reference>
          <reference field="3" count="1">
            <x v="3"/>
          </reference>
        </references>
      </pivotArea>
    </format>
    <format dxfId="100">
      <pivotArea collapsedLevelsAreSubtotals="1" fieldPosition="0">
        <references count="1">
          <reference field="2" count="1">
            <x v="6"/>
          </reference>
        </references>
      </pivotArea>
    </format>
    <format dxfId="99">
      <pivotArea collapsedLevelsAreSubtotals="1" fieldPosition="0">
        <references count="2">
          <reference field="2" count="1" selected="0">
            <x v="6"/>
          </reference>
          <reference field="3" count="1">
            <x v="4"/>
          </reference>
        </references>
      </pivotArea>
    </format>
    <format dxfId="98">
      <pivotArea collapsedLevelsAreSubtotals="1" fieldPosition="0">
        <references count="1">
          <reference field="2" count="1">
            <x v="2"/>
          </reference>
        </references>
      </pivotArea>
    </format>
    <format dxfId="97">
      <pivotArea collapsedLevelsAreSubtotals="1" fieldPosition="0">
        <references count="2">
          <reference field="2" count="1" selected="0">
            <x v="2"/>
          </reference>
          <reference field="3" count="1">
            <x v="5"/>
          </reference>
        </references>
      </pivotArea>
    </format>
    <format dxfId="96">
      <pivotArea collapsedLevelsAreSubtotals="1" fieldPosition="0">
        <references count="1">
          <reference field="2" count="1">
            <x v="10"/>
          </reference>
        </references>
      </pivotArea>
    </format>
    <format dxfId="95">
      <pivotArea collapsedLevelsAreSubtotals="1" fieldPosition="0">
        <references count="2">
          <reference field="2" count="1" selected="0">
            <x v="10"/>
          </reference>
          <reference field="3" count="1">
            <x v="5"/>
          </reference>
        </references>
      </pivotArea>
    </format>
    <format dxfId="94">
      <pivotArea collapsedLevelsAreSubtotals="1" fieldPosition="0">
        <references count="1">
          <reference field="2" count="1">
            <x v="1"/>
          </reference>
        </references>
      </pivotArea>
    </format>
    <format dxfId="93">
      <pivotArea collapsedLevelsAreSubtotals="1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92">
      <pivotArea collapsedLevelsAreSubtotals="1" fieldPosition="0">
        <references count="1">
          <reference field="2" count="1">
            <x v="16"/>
          </reference>
        </references>
      </pivotArea>
    </format>
    <format dxfId="91">
      <pivotArea collapsedLevelsAreSubtotals="1" fieldPosition="0">
        <references count="2">
          <reference field="2" count="1" selected="0">
            <x v="16"/>
          </reference>
          <reference field="3" count="1">
            <x v="6"/>
          </reference>
        </references>
      </pivotArea>
    </format>
    <format dxfId="90">
      <pivotArea collapsedLevelsAreSubtotals="1" fieldPosition="0">
        <references count="1">
          <reference field="2" count="1">
            <x v="0"/>
          </reference>
        </references>
      </pivotArea>
    </format>
    <format dxfId="89">
      <pivotArea collapsedLevelsAreSubtotals="1" fieldPosition="0">
        <references count="2">
          <reference field="2" count="1" selected="0">
            <x v="0"/>
          </reference>
          <reference field="3" count="1">
            <x v="5"/>
          </reference>
        </references>
      </pivotArea>
    </format>
    <format dxfId="88">
      <pivotArea collapsedLevelsAreSubtotals="1" fieldPosition="0">
        <references count="1">
          <reference field="2" count="1">
            <x v="8"/>
          </reference>
        </references>
      </pivotArea>
    </format>
    <format dxfId="87">
      <pivotArea collapsedLevelsAreSubtotals="1" fieldPosition="0">
        <references count="2">
          <reference field="2" count="1" selected="0">
            <x v="8"/>
          </reference>
          <reference field="3" count="1">
            <x v="7"/>
          </reference>
        </references>
      </pivotArea>
    </format>
    <format dxfId="86">
      <pivotArea collapsedLevelsAreSubtotals="1" fieldPosition="0">
        <references count="1">
          <reference field="2" count="1">
            <x v="18"/>
          </reference>
        </references>
      </pivotArea>
    </format>
    <format dxfId="85">
      <pivotArea collapsedLevelsAreSubtotals="1" fieldPosition="0">
        <references count="2">
          <reference field="2" count="1" selected="0">
            <x v="18"/>
          </reference>
          <reference field="3" count="1">
            <x v="4"/>
          </reference>
        </references>
      </pivotArea>
    </format>
    <format dxfId="84">
      <pivotArea collapsedLevelsAreSubtotals="1" fieldPosition="0">
        <references count="1">
          <reference field="2" count="1">
            <x v="17"/>
          </reference>
        </references>
      </pivotArea>
    </format>
    <format dxfId="83">
      <pivotArea collapsedLevelsAreSubtotals="1" fieldPosition="0">
        <references count="2">
          <reference field="2" count="1" selected="0">
            <x v="17"/>
          </reference>
          <reference field="3" count="1">
            <x v="8"/>
          </reference>
        </references>
      </pivotArea>
    </format>
    <format dxfId="82">
      <pivotArea collapsedLevelsAreSubtotals="1" fieldPosition="0">
        <references count="1">
          <reference field="2" count="1">
            <x v="13"/>
          </reference>
        </references>
      </pivotArea>
    </format>
    <format dxfId="81">
      <pivotArea collapsedLevelsAreSubtotals="1" fieldPosition="0">
        <references count="2">
          <reference field="2" count="1" selected="0">
            <x v="13"/>
          </reference>
          <reference field="3" count="1">
            <x v="3"/>
          </reference>
        </references>
      </pivotArea>
    </format>
    <format dxfId="80">
      <pivotArea collapsedLevelsAreSubtotals="1" fieldPosition="0">
        <references count="1">
          <reference field="2" count="1">
            <x v="15"/>
          </reference>
        </references>
      </pivotArea>
    </format>
    <format dxfId="79">
      <pivotArea collapsedLevelsAreSubtotals="1" fieldPosition="0">
        <references count="2">
          <reference field="2" count="1" selected="0">
            <x v="15"/>
          </reference>
          <reference field="3" count="1">
            <x v="4"/>
          </reference>
        </references>
      </pivotArea>
    </format>
    <format dxfId="78">
      <pivotArea collapsedLevelsAreSubtotals="1" fieldPosition="0">
        <references count="1">
          <reference field="2" count="1">
            <x v="7"/>
          </reference>
        </references>
      </pivotArea>
    </format>
    <format dxfId="77">
      <pivotArea collapsedLevelsAreSubtotals="1" fieldPosition="0">
        <references count="2">
          <reference field="2" count="1" selected="0">
            <x v="7"/>
          </reference>
          <reference field="3" count="1">
            <x v="2"/>
          </reference>
        </references>
      </pivotArea>
    </format>
    <format dxfId="76">
      <pivotArea collapsedLevelsAreSubtotals="1" fieldPosition="0">
        <references count="1">
          <reference field="2" count="1">
            <x v="20"/>
          </reference>
        </references>
      </pivotArea>
    </format>
    <format dxfId="75">
      <pivotArea collapsedLevelsAreSubtotals="1" fieldPosition="0">
        <references count="2">
          <reference field="2" count="1" selected="0">
            <x v="20"/>
          </reference>
          <reference field="3" count="1">
            <x v="8"/>
          </reference>
        </references>
      </pivotArea>
    </format>
    <format dxfId="74">
      <pivotArea collapsedLevelsAreSubtotals="1" fieldPosition="0">
        <references count="1">
          <reference field="2" count="1">
            <x v="19"/>
          </reference>
        </references>
      </pivotArea>
    </format>
    <format dxfId="73">
      <pivotArea collapsedLevelsAreSubtotals="1" fieldPosition="0">
        <references count="2">
          <reference field="2" count="1" selected="0">
            <x v="19"/>
          </reference>
          <reference field="3" count="1">
            <x v="9"/>
          </reference>
        </references>
      </pivotArea>
    </format>
    <format dxfId="72">
      <pivotArea collapsedLevelsAreSubtotals="1" fieldPosition="0">
        <references count="1">
          <reference field="2" count="1">
            <x v="14"/>
          </reference>
        </references>
      </pivotArea>
    </format>
    <format dxfId="71">
      <pivotArea collapsedLevelsAreSubtotals="1" fieldPosition="0">
        <references count="2">
          <reference field="2" count="1" selected="0">
            <x v="14"/>
          </reference>
          <reference field="3" count="1">
            <x v="6"/>
          </reference>
        </references>
      </pivotArea>
    </format>
    <format dxfId="70">
      <pivotArea collapsedLevelsAreSubtotals="1" fieldPosition="0">
        <references count="1">
          <reference field="2" count="1">
            <x v="5"/>
          </reference>
        </references>
      </pivotArea>
    </format>
    <format dxfId="69">
      <pivotArea collapsedLevelsAreSubtotals="1" fieldPosition="0">
        <references count="2">
          <reference field="2" count="1" selected="0">
            <x v="5"/>
          </reference>
          <reference field="3" count="1">
            <x v="10"/>
          </reference>
        </references>
      </pivotArea>
    </format>
    <format dxfId="68">
      <pivotArea dataOnly="0" labelOnly="1" fieldPosition="0">
        <references count="1">
          <reference field="2" count="0"/>
        </references>
      </pivotArea>
    </format>
    <format dxfId="67">
      <pivotArea dataOnly="0" labelOnly="1" fieldPosition="0">
        <references count="2">
          <reference field="2" count="1" selected="0">
            <x v="3"/>
          </reference>
          <reference field="3" count="1">
            <x v="0"/>
          </reference>
        </references>
      </pivotArea>
    </format>
    <format dxfId="66">
      <pivotArea dataOnly="0" labelOnly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65">
      <pivotArea dataOnly="0" labelOnly="1" fieldPosition="0">
        <references count="2">
          <reference field="2" count="1" selected="0">
            <x v="9"/>
          </reference>
          <reference field="3" count="1">
            <x v="2"/>
          </reference>
        </references>
      </pivotArea>
    </format>
    <format dxfId="64">
      <pivotArea dataOnly="0" labelOnly="1" fieldPosition="0">
        <references count="2">
          <reference field="2" count="1" selected="0">
            <x v="12"/>
          </reference>
          <reference field="3" count="1">
            <x v="2"/>
          </reference>
        </references>
      </pivotArea>
    </format>
    <format dxfId="63">
      <pivotArea dataOnly="0" labelOnly="1" fieldPosition="0">
        <references count="2">
          <reference field="2" count="1" selected="0">
            <x v="11"/>
          </reference>
          <reference field="3" count="1">
            <x v="3"/>
          </reference>
        </references>
      </pivotArea>
    </format>
    <format dxfId="62">
      <pivotArea dataOnly="0" labelOnly="1" fieldPosition="0">
        <references count="2">
          <reference field="2" count="1" selected="0">
            <x v="6"/>
          </reference>
          <reference field="3" count="1">
            <x v="4"/>
          </reference>
        </references>
      </pivotArea>
    </format>
    <format dxfId="61">
      <pivotArea dataOnly="0" labelOnly="1" fieldPosition="0">
        <references count="2">
          <reference field="2" count="1" selected="0">
            <x v="2"/>
          </reference>
          <reference field="3" count="1">
            <x v="5"/>
          </reference>
        </references>
      </pivotArea>
    </format>
    <format dxfId="60">
      <pivotArea dataOnly="0" labelOnly="1" fieldPosition="0">
        <references count="2">
          <reference field="2" count="1" selected="0">
            <x v="10"/>
          </reference>
          <reference field="3" count="1">
            <x v="5"/>
          </reference>
        </references>
      </pivotArea>
    </format>
    <format dxfId="59">
      <pivotArea dataOnly="0" labelOnly="1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58">
      <pivotArea dataOnly="0" labelOnly="1" fieldPosition="0">
        <references count="2">
          <reference field="2" count="1" selected="0">
            <x v="16"/>
          </reference>
          <reference field="3" count="1">
            <x v="6"/>
          </reference>
        </references>
      </pivotArea>
    </format>
    <format dxfId="57">
      <pivotArea dataOnly="0" labelOnly="1" fieldPosition="0">
        <references count="2">
          <reference field="2" count="1" selected="0">
            <x v="0"/>
          </reference>
          <reference field="3" count="1">
            <x v="5"/>
          </reference>
        </references>
      </pivotArea>
    </format>
    <format dxfId="56">
      <pivotArea dataOnly="0" labelOnly="1" fieldPosition="0">
        <references count="2">
          <reference field="2" count="1" selected="0">
            <x v="8"/>
          </reference>
          <reference field="3" count="1">
            <x v="7"/>
          </reference>
        </references>
      </pivotArea>
    </format>
    <format dxfId="55">
      <pivotArea dataOnly="0" labelOnly="1" fieldPosition="0">
        <references count="2">
          <reference field="2" count="1" selected="0">
            <x v="18"/>
          </reference>
          <reference field="3" count="1">
            <x v="4"/>
          </reference>
        </references>
      </pivotArea>
    </format>
    <format dxfId="54">
      <pivotArea dataOnly="0" labelOnly="1" fieldPosition="0">
        <references count="2">
          <reference field="2" count="1" selected="0">
            <x v="17"/>
          </reference>
          <reference field="3" count="1">
            <x v="8"/>
          </reference>
        </references>
      </pivotArea>
    </format>
    <format dxfId="53">
      <pivotArea dataOnly="0" labelOnly="1" fieldPosition="0">
        <references count="2">
          <reference field="2" count="1" selected="0">
            <x v="13"/>
          </reference>
          <reference field="3" count="1">
            <x v="3"/>
          </reference>
        </references>
      </pivotArea>
    </format>
    <format dxfId="52">
      <pivotArea dataOnly="0" labelOnly="1" fieldPosition="0">
        <references count="2">
          <reference field="2" count="1" selected="0">
            <x v="15"/>
          </reference>
          <reference field="3" count="1">
            <x v="4"/>
          </reference>
        </references>
      </pivotArea>
    </format>
    <format dxfId="51">
      <pivotArea dataOnly="0" labelOnly="1" fieldPosition="0">
        <references count="2">
          <reference field="2" count="1" selected="0">
            <x v="7"/>
          </reference>
          <reference field="3" count="1">
            <x v="2"/>
          </reference>
        </references>
      </pivotArea>
    </format>
    <format dxfId="50">
      <pivotArea dataOnly="0" labelOnly="1" fieldPosition="0">
        <references count="2">
          <reference field="2" count="1" selected="0">
            <x v="20"/>
          </reference>
          <reference field="3" count="1">
            <x v="8"/>
          </reference>
        </references>
      </pivotArea>
    </format>
    <format dxfId="49">
      <pivotArea dataOnly="0" labelOnly="1" fieldPosition="0">
        <references count="2">
          <reference field="2" count="1" selected="0">
            <x v="19"/>
          </reference>
          <reference field="3" count="1">
            <x v="9"/>
          </reference>
        </references>
      </pivotArea>
    </format>
    <format dxfId="48">
      <pivotArea dataOnly="0" labelOnly="1" fieldPosition="0">
        <references count="2">
          <reference field="2" count="1" selected="0">
            <x v="14"/>
          </reference>
          <reference field="3" count="1">
            <x v="6"/>
          </reference>
        </references>
      </pivotArea>
    </format>
    <format dxfId="47">
      <pivotArea dataOnly="0" labelOnly="1" fieldPosition="0">
        <references count="2">
          <reference field="2" count="1" selected="0">
            <x v="5"/>
          </reference>
          <reference field="3" count="1">
            <x v="10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2">
          <reference field="2" count="1" selected="0">
            <x v="3"/>
          </reference>
          <reference field="3" count="1">
            <x v="0"/>
          </reference>
        </references>
      </pivotArea>
    </format>
    <format dxfId="40">
      <pivotArea dataOnly="0" labelOnly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39">
      <pivotArea dataOnly="0" labelOnly="1" fieldPosition="0">
        <references count="2">
          <reference field="2" count="1" selected="0">
            <x v="9"/>
          </reference>
          <reference field="3" count="1">
            <x v="2"/>
          </reference>
        </references>
      </pivotArea>
    </format>
    <format dxfId="38">
      <pivotArea dataOnly="0" labelOnly="1" fieldPosition="0">
        <references count="2">
          <reference field="2" count="1" selected="0">
            <x v="12"/>
          </reference>
          <reference field="3" count="1">
            <x v="2"/>
          </reference>
        </references>
      </pivotArea>
    </format>
    <format dxfId="37">
      <pivotArea dataOnly="0" labelOnly="1" fieldPosition="0">
        <references count="2">
          <reference field="2" count="1" selected="0">
            <x v="11"/>
          </reference>
          <reference field="3" count="1">
            <x v="3"/>
          </reference>
        </references>
      </pivotArea>
    </format>
    <format dxfId="36">
      <pivotArea dataOnly="0" labelOnly="1" fieldPosition="0">
        <references count="2">
          <reference field="2" count="1" selected="0">
            <x v="6"/>
          </reference>
          <reference field="3" count="1">
            <x v="4"/>
          </reference>
        </references>
      </pivotArea>
    </format>
    <format dxfId="35">
      <pivotArea dataOnly="0" labelOnly="1" fieldPosition="0">
        <references count="2">
          <reference field="2" count="1" selected="0">
            <x v="2"/>
          </reference>
          <reference field="3" count="1">
            <x v="5"/>
          </reference>
        </references>
      </pivotArea>
    </format>
    <format dxfId="34">
      <pivotArea dataOnly="0" labelOnly="1" fieldPosition="0">
        <references count="2">
          <reference field="2" count="1" selected="0">
            <x v="10"/>
          </reference>
          <reference field="3" count="1">
            <x v="5"/>
          </reference>
        </references>
      </pivotArea>
    </format>
    <format dxfId="33">
      <pivotArea dataOnly="0" labelOnly="1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32">
      <pivotArea dataOnly="0" labelOnly="1" fieldPosition="0">
        <references count="2">
          <reference field="2" count="1" selected="0">
            <x v="16"/>
          </reference>
          <reference field="3" count="1">
            <x v="6"/>
          </reference>
        </references>
      </pivotArea>
    </format>
    <format dxfId="31">
      <pivotArea dataOnly="0" labelOnly="1" fieldPosition="0">
        <references count="2">
          <reference field="2" count="1" selected="0">
            <x v="0"/>
          </reference>
          <reference field="3" count="1">
            <x v="5"/>
          </reference>
        </references>
      </pivotArea>
    </format>
    <format dxfId="30">
      <pivotArea dataOnly="0" labelOnly="1" fieldPosition="0">
        <references count="2">
          <reference field="2" count="1" selected="0">
            <x v="8"/>
          </reference>
          <reference field="3" count="1">
            <x v="7"/>
          </reference>
        </references>
      </pivotArea>
    </format>
    <format dxfId="29">
      <pivotArea dataOnly="0" labelOnly="1" fieldPosition="0">
        <references count="2">
          <reference field="2" count="1" selected="0">
            <x v="18"/>
          </reference>
          <reference field="3" count="1">
            <x v="4"/>
          </reference>
        </references>
      </pivotArea>
    </format>
    <format dxfId="28">
      <pivotArea dataOnly="0" labelOnly="1" fieldPosition="0">
        <references count="2">
          <reference field="2" count="1" selected="0">
            <x v="17"/>
          </reference>
          <reference field="3" count="1">
            <x v="8"/>
          </reference>
        </references>
      </pivotArea>
    </format>
    <format dxfId="27">
      <pivotArea dataOnly="0" labelOnly="1" fieldPosition="0">
        <references count="2">
          <reference field="2" count="1" selected="0">
            <x v="13"/>
          </reference>
          <reference field="3" count="1">
            <x v="3"/>
          </reference>
        </references>
      </pivotArea>
    </format>
    <format dxfId="26">
      <pivotArea dataOnly="0" labelOnly="1" fieldPosition="0">
        <references count="2">
          <reference field="2" count="1" selected="0">
            <x v="15"/>
          </reference>
          <reference field="3" count="1">
            <x v="4"/>
          </reference>
        </references>
      </pivotArea>
    </format>
    <format dxfId="25">
      <pivotArea dataOnly="0" labelOnly="1" fieldPosition="0">
        <references count="2">
          <reference field="2" count="1" selected="0">
            <x v="7"/>
          </reference>
          <reference field="3" count="1">
            <x v="2"/>
          </reference>
        </references>
      </pivotArea>
    </format>
    <format dxfId="24">
      <pivotArea dataOnly="0" labelOnly="1" fieldPosition="0">
        <references count="2">
          <reference field="2" count="1" selected="0">
            <x v="20"/>
          </reference>
          <reference field="3" count="1">
            <x v="8"/>
          </reference>
        </references>
      </pivotArea>
    </format>
    <format dxfId="23">
      <pivotArea dataOnly="0" labelOnly="1" fieldPosition="0">
        <references count="2">
          <reference field="2" count="1" selected="0">
            <x v="19"/>
          </reference>
          <reference field="3" count="1">
            <x v="9"/>
          </reference>
        </references>
      </pivotArea>
    </format>
    <format dxfId="22">
      <pivotArea dataOnly="0" labelOnly="1" fieldPosition="0">
        <references count="2">
          <reference field="2" count="1" selected="0">
            <x v="14"/>
          </reference>
          <reference field="3" count="1">
            <x v="6"/>
          </reference>
        </references>
      </pivotArea>
    </format>
    <format dxfId="21">
      <pivotArea dataOnly="0" labelOnly="1" fieldPosition="0">
        <references count="2">
          <reference field="2" count="1" selected="0">
            <x v="5"/>
          </reference>
          <reference field="3" count="1">
            <x v="10"/>
          </reference>
        </references>
      </pivotArea>
    </format>
    <format dxfId="20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Nível de Serviço Essencial (%)"/>
    <pivotHierarchy dragToRow="0" dragToCol="0" dragToPage="0" dragToData="1" caption="Cobertura de Estoque (Dias)"/>
    <pivotHierarchy dragToRow="0" dragToCol="0" dragToPage="0" dragToData="1" caption="Aderência ao Consumo (%)"/>
    <pivotHierarchy dragToRow="0" dragToCol="0" dragToPage="0" dragToData="1" caption="Capital Imobilizado Crítico (R$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ntagem de SKU"/>
    <pivotHierarchy dragToData="1"/>
    <pivotHierarchy dragToData="1" caption="VALOR TOTAL (R$)"/>
    <pivotHierarchy dragToData="1"/>
    <pivotHierarchy dragToData="1" caption="Contagem de SKU"/>
    <pivotHierarchy dragToData="1"/>
    <pivotHierarchy dragToData="1" caption="Contagem de CUSTO PEDIDO (R$)"/>
    <pivotHierarchy dragToData="1" caption="Contagem Distinta de CUSTO PEDIDO (R$)"/>
    <pivotHierarchy dragToData="1"/>
    <pivotHierarchy dragToData="1" caption="Contagem Distinta de SKU"/>
    <pivotHierarchy dragToData="1" caption="Máx. de SKU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Estoque]"/>
        <x15:activeTabTopLevelEntity name="[TBSuprimentos]"/>
        <x15:activeTabTopLevelEntity name="[TBConsum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7B820-ABDA-4CF9-8215-A91B71CCE54C}" name="Tabela dinâmica9" cacheId="0" applyNumberFormats="0" applyBorderFormats="0" applyFontFormats="0" applyPatternFormats="0" applyAlignmentFormats="0" applyWidthHeightFormats="1" dataCaption="Valores" tag="28e2537e-fecd-4a47-8215-2ae20adbadcc" updatedVersion="7" minRefreshableVersion="3" useAutoFormatting="1" itemPrintTitles="1" createdVersion="5" indent="0" outline="1" outlineData="1" multipleFieldFilters="0" chartFormat="2" rowHeaderCaption="Descrição">
  <location ref="C73:D95" firstHeaderRow="1" firstDataRow="1" firstDataCol="1" rowPageCount="1" colPageCount="1"/>
  <pivotFields count="5">
    <pivotField allDrilled="1" subtotalTop="0" showAll="0" dataSourceSort="1" defaultSubtotal="0" defaultAttributeDrillState="1">
      <items count="2">
        <item s="1" x="0"/>
        <item s="1" x="1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2"/>
    <field x="3"/>
  </rowFields>
  <rowItems count="22">
    <i>
      <x/>
    </i>
    <i r="1">
      <x/>
    </i>
    <i r="1">
      <x v="1"/>
    </i>
    <i>
      <x v="1"/>
    </i>
    <i r="1">
      <x v="2"/>
    </i>
    <i>
      <x v="2"/>
    </i>
    <i r="1">
      <x v="5"/>
    </i>
    <i r="1">
      <x v="4"/>
    </i>
    <i r="1">
      <x v="6"/>
    </i>
    <i r="1">
      <x v="3"/>
    </i>
    <i>
      <x v="3"/>
    </i>
    <i r="1">
      <x v="15"/>
    </i>
    <i r="1">
      <x v="13"/>
    </i>
    <i r="1">
      <x v="12"/>
    </i>
    <i r="1">
      <x v="16"/>
    </i>
    <i r="1">
      <x v="14"/>
    </i>
    <i r="1">
      <x v="9"/>
    </i>
    <i r="1">
      <x v="7"/>
    </i>
    <i r="1">
      <x v="10"/>
    </i>
    <i r="1">
      <x v="8"/>
    </i>
    <i r="1">
      <x v="11"/>
    </i>
    <i t="grand">
      <x/>
    </i>
  </rowItems>
  <colItems count="1">
    <i/>
  </colItems>
  <pageFields count="1">
    <pageField fld="1" hier="18" name="[TBEstoque].[CURVA ABC].&amp;[C]" cap="C"/>
  </pageFields>
  <dataFields count="1">
    <dataField name="VALOR TOTAL (R$)" fld="4" baseField="2" baseItem="0"/>
  </dataFields>
  <formats count="41">
    <format dxfId="203">
      <pivotArea collapsedLevelsAreSubtotals="1" fieldPosition="0">
        <references count="2">
          <reference field="2" count="1" selected="0">
            <x v="0"/>
          </reference>
          <reference field="3" count="2">
            <x v="0"/>
            <x v="1"/>
          </reference>
        </references>
      </pivotArea>
    </format>
    <format dxfId="202">
      <pivotArea collapsedLevelsAreSubtotals="1" fieldPosition="0">
        <references count="1">
          <reference field="2" count="1">
            <x v="1"/>
          </reference>
        </references>
      </pivotArea>
    </format>
    <format dxfId="201">
      <pivotArea collapsedLevelsAreSubtotals="1" fieldPosition="0">
        <references count="2">
          <reference field="2" count="1" selected="0">
            <x v="1"/>
          </reference>
          <reference field="3" count="1">
            <x v="2"/>
          </reference>
        </references>
      </pivotArea>
    </format>
    <format dxfId="200">
      <pivotArea collapsedLevelsAreSubtotals="1" fieldPosition="0">
        <references count="1">
          <reference field="2" count="1">
            <x v="2"/>
          </reference>
        </references>
      </pivotArea>
    </format>
    <format dxfId="199">
      <pivotArea collapsedLevelsAreSubtotals="1" fieldPosition="0">
        <references count="2">
          <reference field="2" count="1" selected="0">
            <x v="2"/>
          </reference>
          <reference field="3" count="4">
            <x v="3"/>
            <x v="4"/>
            <x v="5"/>
            <x v="6"/>
          </reference>
        </references>
      </pivotArea>
    </format>
    <format dxfId="198">
      <pivotArea collapsedLevelsAreSubtotals="1" fieldPosition="0">
        <references count="1">
          <reference field="2" count="1">
            <x v="3"/>
          </reference>
        </references>
      </pivotArea>
    </format>
    <format dxfId="197">
      <pivotArea collapsedLevelsAreSubtotals="1" fieldPosition="0">
        <references count="2">
          <reference field="2" count="1" selected="0">
            <x v="3"/>
          </reference>
          <reference field="3" count="10"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96">
      <pivotArea grandRow="1" outline="0" collapsedLevelsAreSubtotals="1" fieldPosition="0"/>
    </format>
    <format dxfId="195">
      <pivotArea field="2" type="button" dataOnly="0" labelOnly="1" outline="0" axis="axisRow" fieldPosition="0"/>
    </format>
    <format dxfId="194">
      <pivotArea dataOnly="0" labelOnly="1" outline="0" axis="axisValues" fieldPosition="0"/>
    </format>
    <format dxfId="193">
      <pivotArea field="2" type="button" dataOnly="0" labelOnly="1" outline="0" axis="axisRow" fieldPosition="0"/>
    </format>
    <format dxfId="192">
      <pivotArea dataOnly="0" labelOnly="1" outline="0" axis="axisValues" fieldPosition="0"/>
    </format>
    <format dxfId="191">
      <pivotArea grandRow="1" outline="0" collapsedLevelsAreSubtotals="1" fieldPosition="0"/>
    </format>
    <format dxfId="190">
      <pivotArea dataOnly="0" labelOnly="1" grandRow="1" outline="0" fieldPosition="0"/>
    </format>
    <format dxfId="189">
      <pivotArea grandRow="1" outline="0" collapsedLevelsAreSubtotals="1" fieldPosition="0"/>
    </format>
    <format dxfId="188">
      <pivotArea dataOnly="0" labelOnly="1" grandRow="1" outline="0" fieldPosition="0"/>
    </format>
    <format dxfId="187">
      <pivotArea grandRow="1" outline="0" collapsedLevelsAreSubtotals="1" fieldPosition="0"/>
    </format>
    <format dxfId="186">
      <pivotArea dataOnly="0" labelOnly="1" grandRow="1" outline="0" fieldPosition="0"/>
    </format>
    <format dxfId="185">
      <pivotArea collapsedLevelsAreSubtotals="1" fieldPosition="0">
        <references count="1">
          <reference field="2" count="1">
            <x v="0"/>
          </reference>
        </references>
      </pivotArea>
    </format>
    <format dxfId="184">
      <pivotArea collapsedLevelsAreSubtotals="1" fieldPosition="0">
        <references count="2">
          <reference field="2" count="1" selected="0">
            <x v="0"/>
          </reference>
          <reference field="3" count="2">
            <x v="0"/>
            <x v="1"/>
          </reference>
        </references>
      </pivotArea>
    </format>
    <format dxfId="183">
      <pivotArea collapsedLevelsAreSubtotals="1" fieldPosition="0">
        <references count="1">
          <reference field="2" count="1">
            <x v="1"/>
          </reference>
        </references>
      </pivotArea>
    </format>
    <format dxfId="182">
      <pivotArea collapsedLevelsAreSubtotals="1" fieldPosition="0">
        <references count="2">
          <reference field="2" count="1" selected="0">
            <x v="1"/>
          </reference>
          <reference field="3" count="1">
            <x v="2"/>
          </reference>
        </references>
      </pivotArea>
    </format>
    <format dxfId="181">
      <pivotArea collapsedLevelsAreSubtotals="1" fieldPosition="0">
        <references count="1">
          <reference field="2" count="1">
            <x v="2"/>
          </reference>
        </references>
      </pivotArea>
    </format>
    <format dxfId="180">
      <pivotArea collapsedLevelsAreSubtotals="1" fieldPosition="0">
        <references count="2">
          <reference field="2" count="1" selected="0">
            <x v="2"/>
          </reference>
          <reference field="3" count="4">
            <x v="3"/>
            <x v="4"/>
            <x v="5"/>
            <x v="6"/>
          </reference>
        </references>
      </pivotArea>
    </format>
    <format dxfId="179">
      <pivotArea collapsedLevelsAreSubtotals="1" fieldPosition="0">
        <references count="1">
          <reference field="2" count="1">
            <x v="3"/>
          </reference>
        </references>
      </pivotArea>
    </format>
    <format dxfId="178">
      <pivotArea collapsedLevelsAreSubtotals="1" fieldPosition="0">
        <references count="2">
          <reference field="2" count="1" selected="0">
            <x v="3"/>
          </reference>
          <reference field="3" count="10"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77">
      <pivotArea dataOnly="0" labelOnly="1" fieldPosition="0">
        <references count="1">
          <reference field="2" count="0"/>
        </references>
      </pivotArea>
    </format>
    <format dxfId="176">
      <pivotArea dataOnly="0" labelOnly="1" fieldPosition="0">
        <references count="2">
          <reference field="2" count="1" selected="0">
            <x v="0"/>
          </reference>
          <reference field="3" count="2">
            <x v="0"/>
            <x v="1"/>
          </reference>
        </references>
      </pivotArea>
    </format>
    <format dxfId="175">
      <pivotArea dataOnly="0" labelOnly="1" fieldPosition="0">
        <references count="2">
          <reference field="2" count="1" selected="0">
            <x v="1"/>
          </reference>
          <reference field="3" count="1">
            <x v="2"/>
          </reference>
        </references>
      </pivotArea>
    </format>
    <format dxfId="174">
      <pivotArea dataOnly="0" labelOnly="1" fieldPosition="0">
        <references count="2">
          <reference field="2" count="1" selected="0">
            <x v="2"/>
          </reference>
          <reference field="3" count="4">
            <x v="3"/>
            <x v="4"/>
            <x v="5"/>
            <x v="6"/>
          </reference>
        </references>
      </pivotArea>
    </format>
    <format dxfId="173">
      <pivotArea dataOnly="0" labelOnly="1" fieldPosition="0">
        <references count="2">
          <reference field="2" count="1" selected="0">
            <x v="3"/>
          </reference>
          <reference field="3" count="10"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2" type="button" dataOnly="0" labelOnly="1" outline="0" axis="axisRow" fieldPosition="0"/>
    </format>
    <format dxfId="169">
      <pivotArea dataOnly="0" labelOnly="1" fieldPosition="0">
        <references count="1">
          <reference field="2" count="0"/>
        </references>
      </pivotArea>
    </format>
    <format dxfId="168">
      <pivotArea dataOnly="0" labelOnly="1" grandRow="1" outline="0" fieldPosition="0"/>
    </format>
    <format dxfId="167">
      <pivotArea dataOnly="0" labelOnly="1" fieldPosition="0">
        <references count="2">
          <reference field="2" count="1" selected="0">
            <x v="0"/>
          </reference>
          <reference field="3" count="2">
            <x v="0"/>
            <x v="1"/>
          </reference>
        </references>
      </pivotArea>
    </format>
    <format dxfId="166">
      <pivotArea dataOnly="0" labelOnly="1" fieldPosition="0">
        <references count="2">
          <reference field="2" count="1" selected="0">
            <x v="1"/>
          </reference>
          <reference field="3" count="1">
            <x v="2"/>
          </reference>
        </references>
      </pivotArea>
    </format>
    <format dxfId="165">
      <pivotArea dataOnly="0" labelOnly="1" fieldPosition="0">
        <references count="2">
          <reference field="2" count="1" selected="0">
            <x v="2"/>
          </reference>
          <reference field="3" count="4">
            <x v="3"/>
            <x v="4"/>
            <x v="5"/>
            <x v="6"/>
          </reference>
        </references>
      </pivotArea>
    </format>
    <format dxfId="164">
      <pivotArea dataOnly="0" labelOnly="1" fieldPosition="0">
        <references count="2">
          <reference field="2" count="1" selected="0">
            <x v="3"/>
          </reference>
          <reference field="3" count="10"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63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Nível de Serviço Essencial (%)"/>
    <pivotHierarchy dragToRow="0" dragToCol="0" dragToPage="0" dragToData="1" caption="Cobertura de Estoque (Dias)"/>
    <pivotHierarchy dragToRow="0" dragToCol="0" dragToPage="0" dragToData="1" caption="Aderência ao Consumo (%)"/>
    <pivotHierarchy dragToRow="0" dragToCol="0" dragToPage="0" dragToData="1" caption="Capital Imobilizado Crítico (R$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VALOR TOTAL (R$)"/>
    <pivotHierarchy dragToData="1"/>
    <pivotHierarchy dragToData="1"/>
    <pivotHierarchy dragToData="1"/>
    <pivotHierarchy dragToData="1" caption="Contagem de SKU"/>
    <pivotHierarchy dragToData="1"/>
    <pivotHierarchy dragToData="1"/>
    <pivotHierarchy dragToData="1"/>
    <pivotHierarchy dragToData="1" caption="Contagem de SKU"/>
    <pivotHierarchy dragToData="1"/>
    <pivotHierarchy dragToData="1" caption="Contagem de CUSTO PEDIDO (R$)"/>
    <pivotHierarchy dragToData="1" caption="Contagem Distinta de CUSTO PEDIDO (R$)"/>
    <pivotHierarchy dragToData="1"/>
    <pivotHierarchy dragToData="1" caption="Contagem Distinta de SKU"/>
    <pivotHierarchy dragToData="1" caption="Máx. de SKU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Estoque]"/>
        <x15:activeTabTopLevelEntity name="[TBSuprimen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61F30-1218-4CD4-83CE-1A65D15090B3}" name="Tabela dinâmica8" cacheId="5" applyNumberFormats="0" applyBorderFormats="0" applyFontFormats="0" applyPatternFormats="0" applyAlignmentFormats="0" applyWidthHeightFormats="1" dataCaption="Valores" tag="5dbe11f2-eb55-4dab-905d-93b0479ba52e" updatedVersion="7" minRefreshableVersion="3" useAutoFormatting="1" itemPrintTitles="1" createdVersion="5" indent="0" outline="1" outlineData="1" multipleFieldFilters="0" chartFormat="1" rowHeaderCaption="Descrição">
  <location ref="C44:F64" firstHeaderRow="1" firstDataRow="2" firstDataCol="1" rowPageCount="1" colPageCount="1"/>
  <pivotFields count="5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2">
    <field x="2"/>
    <field x="4"/>
  </rowFields>
  <rowItems count="1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0" hier="19" name="[TBEstoque].[ITEM ESSENCIAL].&amp;[SIM]" cap="SIM"/>
  </pageFields>
  <dataFields count="1">
    <dataField name="Máx. de SKU" fld="3" subtotal="max" baseField="2" baseItem="2"/>
  </dataFields>
  <formats count="71">
    <format dxfId="274">
      <pivotArea type="origin" dataOnly="0" labelOnly="1" outline="0" fieldPosition="0"/>
    </format>
    <format dxfId="273">
      <pivotArea field="1" type="button" dataOnly="0" labelOnly="1" outline="0" axis="axisCol" fieldPosition="0"/>
    </format>
    <format dxfId="272">
      <pivotArea type="topRight" dataOnly="0" labelOnly="1" outline="0" fieldPosition="0"/>
    </format>
    <format dxfId="271">
      <pivotArea field="2" type="button" dataOnly="0" labelOnly="1" outline="0" axis="axisRow" fieldPosition="0"/>
    </format>
    <format dxfId="270">
      <pivotArea dataOnly="0" labelOnly="1" fieldPosition="0">
        <references count="1">
          <reference field="1" count="0"/>
        </references>
      </pivotArea>
    </format>
    <format dxfId="269">
      <pivotArea dataOnly="0" labelOnly="1" grandCol="1" outline="0" fieldPosition="0"/>
    </format>
    <format dxfId="268">
      <pivotArea type="origin" dataOnly="0" labelOnly="1" outline="0" fieldPosition="0"/>
    </format>
    <format dxfId="267">
      <pivotArea field="1" type="button" dataOnly="0" labelOnly="1" outline="0" axis="axisCol" fieldPosition="0"/>
    </format>
    <format dxfId="266">
      <pivotArea type="topRight" dataOnly="0" labelOnly="1" outline="0" fieldPosition="0"/>
    </format>
    <format dxfId="265">
      <pivotArea field="2" type="button" dataOnly="0" labelOnly="1" outline="0" axis="axisRow" fieldPosition="0"/>
    </format>
    <format dxfId="264">
      <pivotArea dataOnly="0" labelOnly="1" fieldPosition="0">
        <references count="1">
          <reference field="1" count="0"/>
        </references>
      </pivotArea>
    </format>
    <format dxfId="263">
      <pivotArea dataOnly="0" labelOnly="1" grandCol="1" outline="0" fieldPosition="0"/>
    </format>
    <format dxfId="262">
      <pivotArea type="origin" dataOnly="0" labelOnly="1" outline="0" fieldPosition="0"/>
    </format>
    <format dxfId="261">
      <pivotArea field="1" type="button" dataOnly="0" labelOnly="1" outline="0" axis="axisCol" fieldPosition="0"/>
    </format>
    <format dxfId="260">
      <pivotArea type="topRight" dataOnly="0" labelOnly="1" outline="0" fieldPosition="0"/>
    </format>
    <format dxfId="259">
      <pivotArea field="2" type="button" dataOnly="0" labelOnly="1" outline="0" axis="axisRow" fieldPosition="0"/>
    </format>
    <format dxfId="258">
      <pivotArea dataOnly="0" labelOnly="1" fieldPosition="0">
        <references count="1">
          <reference field="1" count="0"/>
        </references>
      </pivotArea>
    </format>
    <format dxfId="257">
      <pivotArea dataOnly="0" labelOnly="1" grandCol="1" outline="0" fieldPosition="0"/>
    </format>
    <format dxfId="256">
      <pivotArea grandRow="1" outline="0" collapsedLevelsAreSubtotals="1" fieldPosition="0"/>
    </format>
    <format dxfId="255">
      <pivotArea dataOnly="0" labelOnly="1" grandRow="1" outline="0" fieldPosition="0"/>
    </format>
    <format dxfId="254">
      <pivotArea grandRow="1" outline="0" collapsedLevelsAreSubtotals="1" fieldPosition="0"/>
    </format>
    <format dxfId="253">
      <pivotArea dataOnly="0" labelOnly="1" grandRow="1" outline="0" fieldPosition="0"/>
    </format>
    <format dxfId="252">
      <pivotArea grandRow="1" outline="0" collapsedLevelsAreSubtotals="1" fieldPosition="0"/>
    </format>
    <format dxfId="251">
      <pivotArea dataOnly="0" labelOnly="1" grandRow="1" outline="0" fieldPosition="0"/>
    </format>
    <format dxfId="250">
      <pivotArea collapsedLevelsAreSubtotals="1" fieldPosition="0">
        <references count="1">
          <reference field="2" count="1">
            <x v="0"/>
          </reference>
        </references>
      </pivotArea>
    </format>
    <format dxfId="249">
      <pivotArea collapsedLevelsAreSubtotals="1" fieldPosition="0">
        <references count="2">
          <reference field="2" count="1" selected="0">
            <x v="0"/>
          </reference>
          <reference field="4" count="1">
            <x v="0"/>
          </reference>
        </references>
      </pivotArea>
    </format>
    <format dxfId="248">
      <pivotArea collapsedLevelsAreSubtotals="1" fieldPosition="0">
        <references count="1">
          <reference field="2" count="1">
            <x v="1"/>
          </reference>
        </references>
      </pivotArea>
    </format>
    <format dxfId="247">
      <pivotArea collapsedLevelsAreSubtotals="1" fieldPosition="0">
        <references count="2">
          <reference field="2" count="1" selected="0">
            <x v="1"/>
          </reference>
          <reference field="4" count="1">
            <x v="1"/>
          </reference>
        </references>
      </pivotArea>
    </format>
    <format dxfId="246">
      <pivotArea collapsedLevelsAreSubtotals="1" fieldPosition="0">
        <references count="1">
          <reference field="2" count="1">
            <x v="2"/>
          </reference>
        </references>
      </pivotArea>
    </format>
    <format dxfId="245">
      <pivotArea collapsedLevelsAreSubtotals="1" fieldPosition="0">
        <references count="2">
          <reference field="2" count="1" selected="0">
            <x v="2"/>
          </reference>
          <reference field="4" count="1">
            <x v="2"/>
          </reference>
        </references>
      </pivotArea>
    </format>
    <format dxfId="244">
      <pivotArea collapsedLevelsAreSubtotals="1" fieldPosition="0">
        <references count="1">
          <reference field="2" count="1">
            <x v="3"/>
          </reference>
        </references>
      </pivotArea>
    </format>
    <format dxfId="243">
      <pivotArea collapsedLevelsAreSubtotals="1" fieldPosition="0">
        <references count="2">
          <reference field="2" count="1" selected="0">
            <x v="3"/>
          </reference>
          <reference field="4" count="1">
            <x v="3"/>
          </reference>
        </references>
      </pivotArea>
    </format>
    <format dxfId="242">
      <pivotArea collapsedLevelsAreSubtotals="1" fieldPosition="0">
        <references count="1">
          <reference field="2" count="1">
            <x v="4"/>
          </reference>
        </references>
      </pivotArea>
    </format>
    <format dxfId="241">
      <pivotArea collapsedLevelsAreSubtotals="1" fieldPosition="0">
        <references count="2">
          <reference field="2" count="1" selected="0">
            <x v="4"/>
          </reference>
          <reference field="4" count="1">
            <x v="4"/>
          </reference>
        </references>
      </pivotArea>
    </format>
    <format dxfId="240">
      <pivotArea collapsedLevelsAreSubtotals="1" fieldPosition="0">
        <references count="1">
          <reference field="2" count="1">
            <x v="5"/>
          </reference>
        </references>
      </pivotArea>
    </format>
    <format dxfId="239">
      <pivotArea collapsedLevelsAreSubtotals="1" fieldPosition="0">
        <references count="2">
          <reference field="2" count="1" selected="0">
            <x v="5"/>
          </reference>
          <reference field="4" count="1">
            <x v="5"/>
          </reference>
        </references>
      </pivotArea>
    </format>
    <format dxfId="238">
      <pivotArea collapsedLevelsAreSubtotals="1" fieldPosition="0">
        <references count="1">
          <reference field="2" count="1">
            <x v="6"/>
          </reference>
        </references>
      </pivotArea>
    </format>
    <format dxfId="237">
      <pivotArea collapsedLevelsAreSubtotals="1" fieldPosition="0">
        <references count="2">
          <reference field="2" count="1" selected="0">
            <x v="6"/>
          </reference>
          <reference field="4" count="1">
            <x v="6"/>
          </reference>
        </references>
      </pivotArea>
    </format>
    <format dxfId="236">
      <pivotArea collapsedLevelsAreSubtotals="1" fieldPosition="0">
        <references count="1">
          <reference field="2" count="1">
            <x v="7"/>
          </reference>
        </references>
      </pivotArea>
    </format>
    <format dxfId="235">
      <pivotArea collapsedLevelsAreSubtotals="1" fieldPosition="0">
        <references count="2">
          <reference field="2" count="1" selected="0">
            <x v="7"/>
          </reference>
          <reference field="4" count="1">
            <x v="7"/>
          </reference>
        </references>
      </pivotArea>
    </format>
    <format dxfId="234">
      <pivotArea collapsedLevelsAreSubtotals="1" fieldPosition="0">
        <references count="1">
          <reference field="2" count="1">
            <x v="8"/>
          </reference>
        </references>
      </pivotArea>
    </format>
    <format dxfId="233">
      <pivotArea collapsedLevelsAreSubtotals="1" fieldPosition="0">
        <references count="2">
          <reference field="2" count="1" selected="0">
            <x v="8"/>
          </reference>
          <reference field="4" count="1">
            <x v="8"/>
          </reference>
        </references>
      </pivotArea>
    </format>
    <format dxfId="232">
      <pivotArea dataOnly="0" labelOnly="1" fieldPosition="0">
        <references count="1">
          <reference field="2" count="0"/>
        </references>
      </pivotArea>
    </format>
    <format dxfId="231">
      <pivotArea dataOnly="0" labelOnly="1" fieldPosition="0">
        <references count="2">
          <reference field="2" count="1" selected="0">
            <x v="0"/>
          </reference>
          <reference field="4" count="1">
            <x v="0"/>
          </reference>
        </references>
      </pivotArea>
    </format>
    <format dxfId="230">
      <pivotArea dataOnly="0" labelOnly="1" fieldPosition="0">
        <references count="2">
          <reference field="2" count="1" selected="0">
            <x v="1"/>
          </reference>
          <reference field="4" count="1">
            <x v="1"/>
          </reference>
        </references>
      </pivotArea>
    </format>
    <format dxfId="229">
      <pivotArea dataOnly="0" labelOnly="1" fieldPosition="0">
        <references count="2">
          <reference field="2" count="1" selected="0">
            <x v="2"/>
          </reference>
          <reference field="4" count="1">
            <x v="2"/>
          </reference>
        </references>
      </pivotArea>
    </format>
    <format dxfId="228">
      <pivotArea dataOnly="0" labelOnly="1" fieldPosition="0">
        <references count="2">
          <reference field="2" count="1" selected="0">
            <x v="3"/>
          </reference>
          <reference field="4" count="1">
            <x v="3"/>
          </reference>
        </references>
      </pivotArea>
    </format>
    <format dxfId="227">
      <pivotArea dataOnly="0" labelOnly="1" fieldPosition="0">
        <references count="2">
          <reference field="2" count="1" selected="0">
            <x v="4"/>
          </reference>
          <reference field="4" count="1">
            <x v="4"/>
          </reference>
        </references>
      </pivotArea>
    </format>
    <format dxfId="226">
      <pivotArea dataOnly="0" labelOnly="1" fieldPosition="0">
        <references count="2">
          <reference field="2" count="1" selected="0">
            <x v="5"/>
          </reference>
          <reference field="4" count="1">
            <x v="5"/>
          </reference>
        </references>
      </pivotArea>
    </format>
    <format dxfId="225">
      <pivotArea dataOnly="0" labelOnly="1" fieldPosition="0">
        <references count="2">
          <reference field="2" count="1" selected="0">
            <x v="6"/>
          </reference>
          <reference field="4" count="1">
            <x v="6"/>
          </reference>
        </references>
      </pivotArea>
    </format>
    <format dxfId="224">
      <pivotArea dataOnly="0" labelOnly="1" fieldPosition="0">
        <references count="2">
          <reference field="2" count="1" selected="0">
            <x v="7"/>
          </reference>
          <reference field="4" count="1">
            <x v="7"/>
          </reference>
        </references>
      </pivotArea>
    </format>
    <format dxfId="223">
      <pivotArea dataOnly="0" labelOnly="1" fieldPosition="0">
        <references count="2">
          <reference field="2" count="1" selected="0">
            <x v="8"/>
          </reference>
          <reference field="4" count="1">
            <x v="8"/>
          </reference>
        </references>
      </pivotArea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type="origin" dataOnly="0" labelOnly="1" outline="0" fieldPosition="0"/>
    </format>
    <format dxfId="219">
      <pivotArea field="1" type="button" dataOnly="0" labelOnly="1" outline="0" axis="axisCol" fieldPosition="0"/>
    </format>
    <format dxfId="218">
      <pivotArea type="topRight" dataOnly="0" labelOnly="1" outline="0" fieldPosition="0"/>
    </format>
    <format dxfId="217">
      <pivotArea field="2" type="button" dataOnly="0" labelOnly="1" outline="0" axis="axisRow" fieldPosition="0"/>
    </format>
    <format dxfId="216">
      <pivotArea dataOnly="0" labelOnly="1" fieldPosition="0">
        <references count="1">
          <reference field="2" count="0"/>
        </references>
      </pivotArea>
    </format>
    <format dxfId="215">
      <pivotArea dataOnly="0" labelOnly="1" grandRow="1" outline="0" fieldPosition="0"/>
    </format>
    <format dxfId="214">
      <pivotArea dataOnly="0" labelOnly="1" fieldPosition="0">
        <references count="2">
          <reference field="2" count="1" selected="0">
            <x v="0"/>
          </reference>
          <reference field="4" count="1">
            <x v="0"/>
          </reference>
        </references>
      </pivotArea>
    </format>
    <format dxfId="213">
      <pivotArea dataOnly="0" labelOnly="1" fieldPosition="0">
        <references count="2">
          <reference field="2" count="1" selected="0">
            <x v="1"/>
          </reference>
          <reference field="4" count="1">
            <x v="1"/>
          </reference>
        </references>
      </pivotArea>
    </format>
    <format dxfId="212">
      <pivotArea dataOnly="0" labelOnly="1" fieldPosition="0">
        <references count="2">
          <reference field="2" count="1" selected="0">
            <x v="2"/>
          </reference>
          <reference field="4" count="1">
            <x v="2"/>
          </reference>
        </references>
      </pivotArea>
    </format>
    <format dxfId="211">
      <pivotArea dataOnly="0" labelOnly="1" fieldPosition="0">
        <references count="2">
          <reference field="2" count="1" selected="0">
            <x v="3"/>
          </reference>
          <reference field="4" count="1">
            <x v="3"/>
          </reference>
        </references>
      </pivotArea>
    </format>
    <format dxfId="210">
      <pivotArea dataOnly="0" labelOnly="1" fieldPosition="0">
        <references count="2">
          <reference field="2" count="1" selected="0">
            <x v="4"/>
          </reference>
          <reference field="4" count="1">
            <x v="4"/>
          </reference>
        </references>
      </pivotArea>
    </format>
    <format dxfId="209">
      <pivotArea dataOnly="0" labelOnly="1" fieldPosition="0">
        <references count="2">
          <reference field="2" count="1" selected="0">
            <x v="5"/>
          </reference>
          <reference field="4" count="1">
            <x v="5"/>
          </reference>
        </references>
      </pivotArea>
    </format>
    <format dxfId="208">
      <pivotArea dataOnly="0" labelOnly="1" fieldPosition="0">
        <references count="2">
          <reference field="2" count="1" selected="0">
            <x v="6"/>
          </reference>
          <reference field="4" count="1">
            <x v="6"/>
          </reference>
        </references>
      </pivotArea>
    </format>
    <format dxfId="207">
      <pivotArea dataOnly="0" labelOnly="1" fieldPosition="0">
        <references count="2">
          <reference field="2" count="1" selected="0">
            <x v="7"/>
          </reference>
          <reference field="4" count="1">
            <x v="7"/>
          </reference>
        </references>
      </pivotArea>
    </format>
    <format dxfId="206">
      <pivotArea dataOnly="0" labelOnly="1" fieldPosition="0">
        <references count="2">
          <reference field="2" count="1" selected="0">
            <x v="8"/>
          </reference>
          <reference field="4" count="1">
            <x v="8"/>
          </reference>
        </references>
      </pivotArea>
    </format>
    <format dxfId="205">
      <pivotArea dataOnly="0" labelOnly="1" fieldPosition="0">
        <references count="1">
          <reference field="1" count="0"/>
        </references>
      </pivotArea>
    </format>
    <format dxfId="204">
      <pivotArea dataOnly="0" labelOnly="1" grandCol="1" outline="0" fieldPosition="0"/>
    </format>
  </formats>
  <chartFormats count="4">
    <chartFormat chart="0" format="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Nível de Serviço Essencial (%)"/>
    <pivotHierarchy dragToRow="0" dragToCol="0" dragToPage="0" dragToData="1" caption="Cobertura de Estoque (Dias)"/>
    <pivotHierarchy dragToRow="0" dragToCol="0" dragToPage="0" dragToData="1" caption="Aderência ao Consumo (%)"/>
    <pivotHierarchy dragToRow="0" dragToCol="0" dragToPage="0" dragToData="1" caption="Capital Imobilizado Crítico (R$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ntagem de SKU"/>
    <pivotHierarchy dragToData="1"/>
    <pivotHierarchy dragToData="1"/>
    <pivotHierarchy dragToData="1"/>
    <pivotHierarchy dragToData="1" caption="Contagem de SKU"/>
    <pivotHierarchy dragToData="1"/>
    <pivotHierarchy dragToData="1" caption="Contagem de CUSTO PEDIDO (R$)"/>
    <pivotHierarchy dragToData="1" caption="Contagem Distinta de CUSTO PEDIDO (R$)"/>
    <pivotHierarchy dragToData="1"/>
    <pivotHierarchy dragToData="1" caption="Contagem Distinta de SKU"/>
    <pivotHierarchy dragToData="1" caption="Máx. de SKU"/>
  </pivotHierarchies>
  <pivotTableStyleInfo name="PivotStyleLight16" showRowHeaders="1" showColHeaders="1" showRowStripes="0" showColStripes="0" showLastColumn="1"/>
  <rowHierarchiesUsage count="2">
    <rowHierarchyUsage hierarchyUsage="26"/>
    <rowHierarchyUsage hierarchyUsage="34"/>
  </rowHierarchiesUsage>
  <colHierarchiesUsage count="1">
    <colHierarchyUsage hierarchyUsage="3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Estoque]"/>
        <x15:activeTabTopLevelEntity name="[TBSuprimen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99E59-0C49-4045-AD4E-1E2E8D9C90A9}" name="Tabela dinâmica7" cacheId="1" applyNumberFormats="0" applyBorderFormats="0" applyFontFormats="0" applyPatternFormats="0" applyAlignmentFormats="0" applyWidthHeightFormats="1" dataCaption="Valores" tag="b52890b1-d325-470e-943a-71a685d98e4d" updatedVersion="7" minRefreshableVersion="3" useAutoFormatting="1" itemPrintTitles="1" createdVersion="5" indent="0" outline="1" outlineData="1" multipleFieldFilters="0">
  <location ref="C33:C3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derência ao Consumo (%)" fld="0" subtotal="count" baseField="0" baseItem="1991667576" numFmtId="166"/>
  </dataFields>
  <formats count="8">
    <format dxfId="282">
      <pivotArea type="all" dataOnly="0" outline="0" fieldPosition="0"/>
    </format>
    <format dxfId="281">
      <pivotArea outline="0" collapsedLevelsAreSubtotals="1" fieldPosition="0"/>
    </format>
    <format dxfId="280">
      <pivotArea dataOnly="0" labelOnly="1" outline="0" axis="axisValues" fieldPosition="0"/>
    </format>
    <format dxfId="279">
      <pivotArea type="all" dataOnly="0" outline="0" fieldPosition="0"/>
    </format>
    <format dxfId="278">
      <pivotArea outline="0" collapsedLevelsAreSubtotals="1" fieldPosition="0"/>
    </format>
    <format dxfId="277">
      <pivotArea dataOnly="0" labelOnly="1" outline="0" axis="axisValues" fieldPosition="0"/>
    </format>
    <format dxfId="276">
      <pivotArea outline="0" collapsedLevelsAreSubtotals="1" fieldPosition="0"/>
    </format>
    <format dxfId="275">
      <pivotArea outline="0" collapsedLevelsAreSubtotals="1" fieldPosition="0"/>
    </format>
  </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Nível de Serviço Essencial (%)"/>
    <pivotHierarchy dragToRow="0" dragToCol="0" dragToPage="0" dragToData="1" caption="Cobertura de Estoque (Dias)"/>
    <pivotHierarchy dragToRow="0" dragToCol="0" dragToPage="0" dragToData="1" caption="Aderência ao Consumo (%)"/>
    <pivotHierarchy dragToRow="0" dragToCol="0" dragToPage="0" dragToData="1" caption="Capital Imobilizado Crítico (R$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Estoqu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9743F-4267-4545-AFA7-3B22E10CFA82}" name="Tabela dinâmica4" cacheId="4" applyNumberFormats="0" applyBorderFormats="0" applyFontFormats="0" applyPatternFormats="0" applyAlignmentFormats="0" applyWidthHeightFormats="1" dataCaption="Valores" tag="d69e4bad-534d-4c3e-a3b4-e5c38db33af1" updatedVersion="7" minRefreshableVersion="3" useAutoFormatting="1" itemPrintTitles="1" createdVersion="5" indent="0" outline="1" outlineData="1" multipleFieldFilters="0">
  <location ref="C11:C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Nível de Serviço Essencial (%)" fld="0" subtotal="count" baseField="0" baseItem="1991667576"/>
  </dataFields>
  <formats count="6">
    <format dxfId="288">
      <pivotArea dataOnly="0" labelOnly="1" outline="0" axis="axisValues" fieldPosition="0"/>
    </format>
    <format dxfId="287">
      <pivotArea dataOnly="0" labelOnly="1" outline="0" axis="axisValues" fieldPosition="0"/>
    </format>
    <format dxfId="286">
      <pivotArea outline="0" collapsedLevelsAreSubtotals="1" fieldPosition="0"/>
    </format>
    <format dxfId="285">
      <pivotArea type="all" dataOnly="0" outline="0" fieldPosition="0"/>
    </format>
    <format dxfId="284">
      <pivotArea outline="0" collapsedLevelsAreSubtotals="1" fieldPosition="0"/>
    </format>
    <format dxfId="283">
      <pivotArea dataOnly="0" labelOnly="1" outline="0" axis="axisValues" fieldPosition="0"/>
    </format>
  </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Nível de Serviço Essencial (%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Estoqu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E3EF7CA-295A-4096-811F-9677232509E4}" name="TBEstoque" displayName="TBEstoque" ref="B4:M108" totalsRowShown="0" headerRowDxfId="361">
  <autoFilter ref="B4:M108" xr:uid="{4E3EF7CA-295A-4096-811F-9677232509E4}"/>
  <tableColumns count="12">
    <tableColumn id="1" xr3:uid="{95981855-62DD-4A0C-8ADA-38ABAE0D420F}" name="SKU" dataDxfId="360"/>
    <tableColumn id="2" xr3:uid="{469C9FC8-0B68-400B-AB78-D8E5F58E4793}" name="CATEGÓRIA" dataDxfId="359"/>
    <tableColumn id="3" xr3:uid="{340103F5-8316-4D76-B846-FC95753548AD}" name="DESCRIÇÃO" dataDxfId="358"/>
    <tableColumn id="4" xr3:uid="{B3D545A8-FADC-4E37-B988-D70107725EEC}" name="UNID. MEDIDA" dataDxfId="357"/>
    <tableColumn id="5" xr3:uid="{FBCD24AA-4966-45BA-9B0F-25E814B3801E}" name="ESTOQUE ATUAL" dataDxfId="356"/>
    <tableColumn id="6" xr3:uid="{466D8D73-F75B-4875-80EA-E1B133D1E27E}" name="CONSUMO MÉDIO MENSAL" dataDxfId="355"/>
    <tableColumn id="7" xr3:uid="{7D2D9D6B-13AA-4738-B39C-86B396EB95AB}" name="CURVA ABC" dataDxfId="354"/>
    <tableColumn id="8" xr3:uid="{65A04E2D-F03D-4FDC-98DF-E15EA63352BD}" name="ITEM ESSENCIAL" dataDxfId="353"/>
    <tableColumn id="9" xr3:uid="{CDDDE750-E53C-43DE-88CB-BD2DE474CB2B}" name="VALOR UNIT. (R$)" dataDxfId="352" dataCellStyle="Moeda"/>
    <tableColumn id="10" xr3:uid="{0B1C3EA7-5714-4DE2-9E81-3746329FF7C2}" name="VALOR TOTAL (R$)" dataDxfId="351" dataCellStyle="Moeda">
      <calculatedColumnFormula>TBEstoque[[#This Row],[ESTOQUE ATUAL]]*TBEstoque[[#This Row],[VALOR UNIT. (R$)]]</calculatedColumnFormula>
    </tableColumn>
    <tableColumn id="11" xr3:uid="{A663B749-A497-40DC-A80F-DC841F8B185F}" name="NF-e" dataDxfId="350"/>
    <tableColumn id="12" xr3:uid="{8A038760-11DF-4AB0-B727-5823EF7C2ED3}" name="FORNECEDOR" dataDxfId="349">
      <calculatedColumnFormula>_xlfn.XLOOKUP(#REF!,#REF!,#REF!, "Não Encontrado")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8319DC-42AE-422B-BDE5-0B06A02C7571}" name="TBConsumo" displayName="TBConsumo" ref="B4:M480" totalsRowShown="0" headerRowDxfId="348" tableBorderDxfId="347">
  <autoFilter ref="B4:M480" xr:uid="{C48319DC-42AE-422B-BDE5-0B06A02C7571}">
    <filterColumn colId="6">
      <filters>
        <filter val="Fábrica Advanced Diadema"/>
        <filter val="Planta Industrial - Suprimentos"/>
      </filters>
    </filterColumn>
  </autoFilter>
  <tableColumns count="12">
    <tableColumn id="1" xr3:uid="{7DB41938-ADC1-4739-A248-265069BCF7DA}" name="ID PEDIDO" dataDxfId="346">
      <calculatedColumnFormula>"PED-" &amp; Consumo_Mensal!$H5 &amp; "-" &amp; TEXT(Consumo_Mensal!$J5, "ddmmaa")</calculatedColumnFormula>
    </tableColumn>
    <tableColumn id="2" xr3:uid="{7B906A00-5179-458C-8471-DBB747334C40}" name="SKU" dataDxfId="345"/>
    <tableColumn id="3" xr3:uid="{A2525E1C-8B62-4490-8ACA-52BDA55628A5}" name="CATEGÓRIA" dataDxfId="344"/>
    <tableColumn id="4" xr3:uid="{D110FE24-112C-489B-AE58-8AA2E5DC9C9B}" name="DESCRIÇÃO" dataDxfId="343"/>
    <tableColumn id="5" xr3:uid="{3CBD7D2F-B201-4276-8068-69145EF309A6}" name="QTDE SOLICITADA" dataDxfId="342"/>
    <tableColumn id="6" xr3:uid="{06962EA9-AA46-4C19-A4BE-AEA336AA3F3A}" name="UNID. MEDIDA" dataDxfId="341"/>
    <tableColumn id="7" xr3:uid="{607C3DB9-3739-4191-85A3-20930C21CFBF}" name="UNID. DESTINO" dataDxfId="340"/>
    <tableColumn id="8" xr3:uid="{B83890AE-1742-48A4-A888-106AA182C86C}" name="SOLICITANTE" dataDxfId="339"/>
    <tableColumn id="9" xr3:uid="{4BDB2716-4B7E-4B7F-BC60-682CE6D2B1EB}" name="DATA SOLICITADA" dataDxfId="338"/>
    <tableColumn id="10" xr3:uid="{70DE556B-8B55-43BC-8647-01D62B074C37}" name="DATA MOVIMENTADA" dataDxfId="337"/>
    <tableColumn id="11" xr3:uid="{636EA000-0BE7-4679-9BFE-BD2DD1143E7D}" name="LEAD TIME (DIAS)" dataDxfId="336">
      <calculatedColumnFormula>CONCATENATE(NETWORKDAYS(Consumo_Mensal!$J5, Consumo_Mensal!$K5)-1, " dia")</calculatedColumnFormula>
    </tableColumn>
    <tableColumn id="12" xr3:uid="{CFA0B4DB-57FD-4584-93F3-510A9EEEF303}" name="VALOR TOTAL (R$)" dataDxfId="335" dataCellStyle="Moeda">
      <calculatedColumnFormula>IFERROR(Consumo_Mensal!$F5*VLOOKUP(Consumo_Mensal!$E5,TBEstoque[[DESCRIÇÃO]:[VALOR UNIT. (R$)]],7,0), 0)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433BB0-3477-4183-98BF-21283BE73C4C}" name="TBSuprimentos" displayName="TBSuprimentos" ref="B4:Q108" totalsRowShown="0" headerRowDxfId="330" dataDxfId="329">
  <autoFilter ref="B4:Q108" xr:uid="{65433BB0-3477-4183-98BF-21283BE73C4C}"/>
  <tableColumns count="16">
    <tableColumn id="1" xr3:uid="{F6048D3C-D93D-4DDC-B9C7-A15EB8B87A6D}" name="SKU" dataDxfId="328">
      <calculatedColumnFormula>TBEstoque[[#This Row],[SKU]]</calculatedColumnFormula>
    </tableColumn>
    <tableColumn id="2" xr3:uid="{3DE879B3-95AF-4A60-9F10-61513A2990E2}" name="CATEGÓRIA " dataDxfId="327">
      <calculatedColumnFormula>IF(TBEstoque[[#This Row],[SKU]]=TBSuprimentos[[#This Row],[SKU]],TBEstoque[[#This Row],[CATEGÓRIA]]," ")</calculatedColumnFormula>
    </tableColumn>
    <tableColumn id="3" xr3:uid="{FBFA6EC8-0AFC-44B2-A3A0-2DA2906B15A9}" name="DESCRIÇÃO" dataDxfId="326">
      <calculatedColumnFormula>IF(TBSuprimentos[[#This Row],[SKU]]=TBEstoque[[#This Row],[SKU]],TBEstoque[[#This Row],[DESCRIÇÃO]]," ")</calculatedColumnFormula>
    </tableColumn>
    <tableColumn id="4" xr3:uid="{0CED8613-4804-4626-A6FC-E3E85D237541}" name="UNID. MEDIDA" dataDxfId="325">
      <calculatedColumnFormula>IF(TBSuprimentos[[#This Row],[SKU]]=TBEstoque[[#This Row],[SKU]],TBEstoque[[#This Row],[UNID. MEDIDA]]," ")</calculatedColumnFormula>
    </tableColumn>
    <tableColumn id="5" xr3:uid="{D7B1D76A-DFB7-4810-B152-DE20F2DFDF90}" name="ESTOQUE ATUAL" dataDxfId="324">
      <calculatedColumnFormula>_xlfn.XLOOKUP(TBSuprimentos[[#This Row],[SKU]], TBEstoque[SKU], TBEstoque[ESTOQUE ATUAL], 0) - SUMIF(TBConsumo[SKU], TBSuprimentos[[#This Row],[SKU]], TBConsumo[QTDE SOLICITADA])</calculatedColumnFormula>
    </tableColumn>
    <tableColumn id="6" xr3:uid="{626A625C-1666-43F7-B2DA-99B818F5BC0C}" name="MÉDIA CONSUMO" dataDxfId="323">
      <calculatedColumnFormula>VLOOKUP(TBSuprimentos[[#This Row],[DESCRIÇÃO]],TBEstoque[[DESCRIÇÃO]:[CONSUMO MÉDIO MENSAL]],4,0)</calculatedColumnFormula>
    </tableColumn>
    <tableColumn id="7" xr3:uid="{D781AF6B-8C13-4B37-BDED-D1ACFE0531DE}" name="STATUS COMPRA" dataDxfId="322">
      <calculatedColumnFormula>IF(F5 &lt;= (G5/30)*20, "RUPTURA",
 IF(F5 &lt; G5, "COMPRA IMEDIATA",
 IF(F5 &gt; G5*2, "EXCESSO", "SAUDÁVEL")))</calculatedColumnFormula>
    </tableColumn>
    <tableColumn id="8" xr3:uid="{9A01D829-FEC2-4285-8E66-283546691961}" name="FATOR EMBALAGEM" dataDxfId="321"/>
    <tableColumn id="9" xr3:uid="{7AF68B27-3AC3-48A7-86C1-8D13DF875A48}" name="FATOR MEDIDA" dataDxfId="320"/>
    <tableColumn id="10" xr3:uid="{14C0BD68-CC42-4769-8F22-00E8152F4F68}" name="SUGESTÃO QTDE " dataDxfId="319">
      <calculatedColumnFormula>IF(OR(H5="COMPRA IMEDIATA", H5="RUPTURA"), IF(ROUNDUP((MAX(IF(OR(C5="Copa",C5="Limpeza"), F5*2, F5*4), G5+F5) - F5) / I5, 0)&lt;=0, "---", ROUNDUP((MAX(IF(OR(C5="Copa",C5="Limpeza"), F5*2, F5*4), G5+F5) - F5) / I5, 0) * I5 &amp; " " &amp; E5), "---")</calculatedColumnFormula>
    </tableColumn>
    <tableColumn id="11" xr3:uid="{7EE59C12-070A-4D16-86BE-F080A52704AF}" name="CUSTO PEDIDO (R$)" dataDxfId="318" dataCellStyle="Moeda">
      <calculatedColumnFormula>IF(OR(H5="COMPRA IMEDIATA", H5="RUPTURA"), IF(K5="---", 0, _xlfn.XLOOKUP(B5, TBEstoque[SKU], TBEstoque[VALOR UNIT. (R$)]) * VALUE(LEFT(K5, SEARCH(" ", K5)-1))), "---")</calculatedColumnFormula>
    </tableColumn>
    <tableColumn id="12" xr3:uid="{4DC506BD-CBD6-4159-9830-27D72C0F08E1}" name="DATA SOLICITADA" dataDxfId="317"/>
    <tableColumn id="13" xr3:uid="{961BC63D-3FCA-409F-A235-24530186855E}" name="PRAZO FORNECEDOR (DIAS)" dataDxfId="316"/>
    <tableColumn id="14" xr3:uid="{6F5ABE3C-D0F1-474B-A7A7-B6D438D08B69}" name="LEAD TIME ALVO" dataDxfId="315">
      <calculatedColumnFormula>IF(OR(H5="COMPRA IMEDIATA", H5="RUPTURA"), WORKDAY(M5,N5,Feriados!$A$3:$A$19),"---")</calculatedColumnFormula>
    </tableColumn>
    <tableColumn id="15" xr3:uid="{37267491-2C25-4491-B67B-20BD2CA9772A}" name="DATA ENTREGA (REAL)" dataDxfId="314"/>
    <tableColumn id="16" xr3:uid="{C5163216-58E4-4360-86B1-ABC9371E0C30}" name="FORNECEDOR " dataDxfId="313">
      <calculatedColumnFormula>IFERROR(_xlfn.LET(_xlpm.f, _xlfn.XLOOKUP(D5, TBEstoque[DESCRIÇÃO], TBEstoque[FORNECEDOR], "---"), IF(_xlpm.f=0, "---", _xlpm.f)), "---")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2D73A9-90EF-463A-8A32-E0DA1C3C9460}" name="Adm" displayName="Adm" ref="B1:B3" totalsRowShown="0" headerRowDxfId="312" headerRowBorderDxfId="311" tableBorderDxfId="310" totalsRowBorderDxfId="309">
  <autoFilter ref="B1:B3" xr:uid="{DB2D73A9-90EF-463A-8A32-E0DA1C3C9460}"/>
  <sortState xmlns:xlrd2="http://schemas.microsoft.com/office/spreadsheetml/2017/richdata2" ref="B2:B3">
    <sortCondition ref="B2:B4"/>
  </sortState>
  <tableColumns count="1">
    <tableColumn id="1" xr3:uid="{DA1E5FD7-AD9B-4487-AD12-C05827C6D3EF}" name="Adm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0FD31B-869B-4BE6-BCBE-618B6765BF88}" name="Copa" displayName="Copa" ref="C1:C9" totalsRowShown="0" headerRowDxfId="308" headerRowBorderDxfId="307" tableBorderDxfId="306" totalsRowBorderDxfId="305">
  <autoFilter ref="C1:C9" xr:uid="{8E0FD31B-869B-4BE6-BCBE-618B6765BF88}"/>
  <sortState xmlns:xlrd2="http://schemas.microsoft.com/office/spreadsheetml/2017/richdata2" ref="C2:C9">
    <sortCondition ref="C2:C10"/>
  </sortState>
  <tableColumns count="1">
    <tableColumn id="1" xr3:uid="{E8CAA999-459C-4645-ACD1-D70E22BF4106}" name="Copa" dataDxfId="30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68D253-9BE8-4F83-8E1B-CC5600BA21FF}" name="Expedição" displayName="Expedição" ref="D1:D25" totalsRowShown="0" headerRowDxfId="303" headerRowBorderDxfId="302" tableBorderDxfId="301" totalsRowBorderDxfId="300">
  <autoFilter ref="D1:D25" xr:uid="{6D68D253-9BE8-4F83-8E1B-CC5600BA21FF}"/>
  <sortState xmlns:xlrd2="http://schemas.microsoft.com/office/spreadsheetml/2017/richdata2" ref="D2:D25">
    <sortCondition ref="D2:D26"/>
  </sortState>
  <tableColumns count="1">
    <tableColumn id="1" xr3:uid="{83828D62-0A7E-4361-8464-FE785B9D79D0}" name="Expedição" dataDxfId="29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42F776-ABEC-4302-8472-956CDA9D7003}" name="Laboratório" displayName="Laboratório" ref="E1:E36" totalsRowShown="0" headerRowDxfId="298" headerRowBorderDxfId="297" tableBorderDxfId="296" totalsRowBorderDxfId="295">
  <autoFilter ref="E1:E36" xr:uid="{8C42F776-ABEC-4302-8472-956CDA9D7003}"/>
  <sortState xmlns:xlrd2="http://schemas.microsoft.com/office/spreadsheetml/2017/richdata2" ref="E2:E36">
    <sortCondition ref="E2:E37"/>
  </sortState>
  <tableColumns count="1">
    <tableColumn id="1" xr3:uid="{0EF7A50B-2D06-4848-913D-1B767DCA5056}" name="Laboratório" dataDxfId="29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717DCB-FA57-4E9E-9BF4-CD460A505248}" name="Limpeza" displayName="Limpeza" ref="F1:F40" totalsRowShown="0" headerRowDxfId="293" headerRowBorderDxfId="292" tableBorderDxfId="291" totalsRowBorderDxfId="290">
  <autoFilter ref="F1:F40" xr:uid="{7D717DCB-FA57-4E9E-9BF4-CD460A505248}"/>
  <sortState xmlns:xlrd2="http://schemas.microsoft.com/office/spreadsheetml/2017/richdata2" ref="F2:F40">
    <sortCondition ref="F2:F41"/>
  </sortState>
  <tableColumns count="1">
    <tableColumn id="1" xr3:uid="{04C2601E-1F1A-4874-9942-7A7897E5825E}" name="Limpeza" dataDxfId="28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6-04-01T13:34:41.33" personId="{E5DC11BD-7D1D-48FC-82A9-BA01C8887397}" id="{801FB750-EDA9-4722-A149-F4203136F8B6}">
    <text>Prioridade financeira (A, B ou C)</text>
  </threadedComment>
  <threadedComment ref="I4" dT="2026-04-01T13:34:21.54" personId="{E5DC11BD-7D1D-48FC-82A9-BA01C8887397}" id="{D46A7CB1-BDB5-41F0-9F75-0EEC3843E89D}">
    <text>Impacto operacional (Sim/Não)</text>
  </threadedComment>
</ThreadedComments>
</file>

<file path=xl/worksheets/_rels/sheet1.xml.rels><?xml version="1.0" encoding="UTF-8" standalone="yes"?>
<Relationships xmlns="http://schemas.openxmlformats.org/package/2006/relationships"><Relationship Id="rId93" Type="http://schemas.microsoft.com/office/2017/10/relationships/threadedComment" Target="../threadedComments/threadedComment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8C1D-F9AB-4656-8A24-3C4E8E660B3F}">
  <sheetPr>
    <tabColor rgb="FFFF0000"/>
  </sheetPr>
  <dimension ref="B2:O108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6" sqref="E6"/>
    </sheetView>
  </sheetViews>
  <sheetFormatPr defaultRowHeight="13.8"/>
  <cols>
    <col min="1" max="1" width="4.19921875" customWidth="1"/>
    <col min="2" max="2" width="7.19921875" customWidth="1"/>
    <col min="3" max="3" width="17.3984375" bestFit="1" customWidth="1"/>
    <col min="4" max="4" width="59.796875" customWidth="1"/>
    <col min="5" max="5" width="17.19921875" customWidth="1"/>
    <col min="6" max="6" width="18.796875" customWidth="1"/>
    <col min="7" max="7" width="28.5" customWidth="1"/>
    <col min="8" max="8" width="14.09765625" bestFit="1" customWidth="1"/>
    <col min="9" max="9" width="18.3984375" bestFit="1" customWidth="1"/>
    <col min="10" max="10" width="19.796875" bestFit="1" customWidth="1"/>
    <col min="11" max="11" width="21" bestFit="1" customWidth="1"/>
    <col min="12" max="12" width="8" bestFit="1" customWidth="1"/>
    <col min="13" max="13" width="72.796875" bestFit="1" customWidth="1"/>
    <col min="14" max="14" width="46.69921875" bestFit="1" customWidth="1"/>
  </cols>
  <sheetData>
    <row r="2" spans="2:13" ht="38.4" customHeight="1"/>
    <row r="4" spans="2:13" ht="16.8">
      <c r="B4" s="11" t="s">
        <v>0</v>
      </c>
      <c r="C4" s="12" t="s">
        <v>127</v>
      </c>
      <c r="D4" s="11" t="s">
        <v>128</v>
      </c>
      <c r="E4" s="11" t="s">
        <v>129</v>
      </c>
      <c r="F4" s="11" t="s">
        <v>175</v>
      </c>
      <c r="G4" s="11" t="s">
        <v>176</v>
      </c>
      <c r="H4" s="11" t="s">
        <v>168</v>
      </c>
      <c r="I4" s="11" t="s">
        <v>169</v>
      </c>
      <c r="J4" s="11" t="s">
        <v>130</v>
      </c>
      <c r="K4" s="11" t="s">
        <v>131</v>
      </c>
      <c r="L4" s="11" t="s">
        <v>1</v>
      </c>
      <c r="M4" s="11" t="s">
        <v>132</v>
      </c>
    </row>
    <row r="5" spans="2:13" ht="16.8">
      <c r="B5" s="13">
        <v>20814</v>
      </c>
      <c r="C5" s="13" t="s">
        <v>8</v>
      </c>
      <c r="D5" s="13" t="s">
        <v>15</v>
      </c>
      <c r="E5" s="13" t="s">
        <v>185</v>
      </c>
      <c r="F5" s="14">
        <v>80</v>
      </c>
      <c r="G5" s="13">
        <v>50</v>
      </c>
      <c r="H5" s="38" t="s">
        <v>170</v>
      </c>
      <c r="I5" s="38" t="s">
        <v>173</v>
      </c>
      <c r="J5" s="29">
        <v>6.8194999999999988</v>
      </c>
      <c r="K5" s="29">
        <f>TBEstoque[[#This Row],[ESTOQUE ATUAL]]*TBEstoque[[#This Row],[VALOR UNIT. (R$)]]</f>
        <v>545.55999999999995</v>
      </c>
      <c r="L5" s="13">
        <v>946</v>
      </c>
      <c r="M5" s="13" t="s">
        <v>232</v>
      </c>
    </row>
    <row r="6" spans="2:13" ht="16.8">
      <c r="B6" s="15">
        <v>20815</v>
      </c>
      <c r="C6" s="13" t="s">
        <v>8</v>
      </c>
      <c r="D6" s="13" t="s">
        <v>10</v>
      </c>
      <c r="E6" s="13" t="s">
        <v>185</v>
      </c>
      <c r="F6" s="14">
        <v>200</v>
      </c>
      <c r="G6" s="13">
        <v>100</v>
      </c>
      <c r="H6" s="38" t="s">
        <v>170</v>
      </c>
      <c r="I6" s="38" t="s">
        <v>173</v>
      </c>
      <c r="J6" s="29">
        <v>97.749999999999986</v>
      </c>
      <c r="K6" s="29">
        <f>TBEstoque[[#This Row],[ESTOQUE ATUAL]]*TBEstoque[[#This Row],[VALOR UNIT. (R$)]]</f>
        <v>19549.999999999996</v>
      </c>
      <c r="L6" s="13">
        <v>15295</v>
      </c>
      <c r="M6" s="13" t="s">
        <v>233</v>
      </c>
    </row>
    <row r="7" spans="2:13" ht="16.8">
      <c r="B7" s="15">
        <v>20816</v>
      </c>
      <c r="C7" s="13" t="s">
        <v>8</v>
      </c>
      <c r="D7" s="13" t="s">
        <v>49</v>
      </c>
      <c r="E7" s="13" t="s">
        <v>185</v>
      </c>
      <c r="F7" s="14">
        <v>70</v>
      </c>
      <c r="G7" s="13">
        <v>40</v>
      </c>
      <c r="H7" s="38" t="s">
        <v>172</v>
      </c>
      <c r="I7" s="38" t="s">
        <v>174</v>
      </c>
      <c r="J7" s="29">
        <v>51.634999999999991</v>
      </c>
      <c r="K7" s="29">
        <f>TBEstoque[[#This Row],[ESTOQUE ATUAL]]*TBEstoque[[#This Row],[VALOR UNIT. (R$)]]</f>
        <v>3614.4499999999994</v>
      </c>
      <c r="L7" s="13">
        <v>897</v>
      </c>
      <c r="M7" s="13" t="s">
        <v>234</v>
      </c>
    </row>
    <row r="8" spans="2:13" ht="16.8">
      <c r="B8" s="15">
        <v>20817</v>
      </c>
      <c r="C8" s="13" t="s">
        <v>8</v>
      </c>
      <c r="D8" s="13" t="s">
        <v>9</v>
      </c>
      <c r="E8" s="13" t="s">
        <v>185</v>
      </c>
      <c r="F8" s="14">
        <v>200</v>
      </c>
      <c r="G8" s="13">
        <v>120</v>
      </c>
      <c r="H8" s="38" t="s">
        <v>170</v>
      </c>
      <c r="I8" s="38" t="s">
        <v>173</v>
      </c>
      <c r="J8" s="29">
        <v>63.249999999999993</v>
      </c>
      <c r="K8" s="29">
        <f>TBEstoque[[#This Row],[ESTOQUE ATUAL]]*TBEstoque[[#This Row],[VALOR UNIT. (R$)]]</f>
        <v>12649.999999999998</v>
      </c>
      <c r="L8" s="13">
        <v>15295</v>
      </c>
      <c r="M8" s="13" t="s">
        <v>235</v>
      </c>
    </row>
    <row r="9" spans="2:13" ht="16.8">
      <c r="B9" s="15">
        <v>20818</v>
      </c>
      <c r="C9" s="13" t="s">
        <v>8</v>
      </c>
      <c r="D9" s="13" t="s">
        <v>63</v>
      </c>
      <c r="E9" s="13" t="s">
        <v>185</v>
      </c>
      <c r="F9" s="14">
        <v>50</v>
      </c>
      <c r="G9" s="13">
        <v>20</v>
      </c>
      <c r="H9" s="38" t="s">
        <v>171</v>
      </c>
      <c r="I9" s="38" t="s">
        <v>174</v>
      </c>
      <c r="J9" s="29">
        <v>9.9934999999999992</v>
      </c>
      <c r="K9" s="29">
        <f>TBEstoque[[#This Row],[ESTOQUE ATUAL]]*TBEstoque[[#This Row],[VALOR UNIT. (R$)]]</f>
        <v>499.67499999999995</v>
      </c>
      <c r="L9" s="13">
        <v>946</v>
      </c>
      <c r="M9" s="13" t="s">
        <v>236</v>
      </c>
    </row>
    <row r="10" spans="2:13" ht="16.8">
      <c r="B10" s="15">
        <v>20819</v>
      </c>
      <c r="C10" s="13" t="s">
        <v>8</v>
      </c>
      <c r="D10" s="13" t="s">
        <v>16</v>
      </c>
      <c r="E10" s="13" t="s">
        <v>185</v>
      </c>
      <c r="F10" s="14">
        <v>150</v>
      </c>
      <c r="G10" s="13">
        <v>50</v>
      </c>
      <c r="H10" s="38" t="s">
        <v>172</v>
      </c>
      <c r="I10" s="38" t="s">
        <v>173</v>
      </c>
      <c r="J10" s="29">
        <v>10.0395</v>
      </c>
      <c r="K10" s="29">
        <f>TBEstoque[[#This Row],[ESTOQUE ATUAL]]*TBEstoque[[#This Row],[VALOR UNIT. (R$)]]</f>
        <v>1505.925</v>
      </c>
      <c r="L10" s="13">
        <v>897</v>
      </c>
      <c r="M10" s="13" t="s">
        <v>237</v>
      </c>
    </row>
    <row r="11" spans="2:13" ht="16.8">
      <c r="B11" s="15">
        <v>20820</v>
      </c>
      <c r="C11" s="13" t="s">
        <v>8</v>
      </c>
      <c r="D11" s="13" t="s">
        <v>64</v>
      </c>
      <c r="E11" s="13" t="s">
        <v>185</v>
      </c>
      <c r="F11" s="14">
        <v>30</v>
      </c>
      <c r="G11" s="13">
        <v>10</v>
      </c>
      <c r="H11" s="38" t="s">
        <v>171</v>
      </c>
      <c r="I11" s="38" t="s">
        <v>174</v>
      </c>
      <c r="J11" s="29">
        <v>4.99</v>
      </c>
      <c r="K11" s="29">
        <f>TBEstoque[[#This Row],[ESTOQUE ATUAL]]*TBEstoque[[#This Row],[VALOR UNIT. (R$)]]</f>
        <v>149.70000000000002</v>
      </c>
      <c r="L11" s="13">
        <v>997</v>
      </c>
      <c r="M11" s="13" t="s">
        <v>238</v>
      </c>
    </row>
    <row r="12" spans="2:13" ht="16.8">
      <c r="B12" s="15">
        <v>20821</v>
      </c>
      <c r="C12" s="13" t="s">
        <v>8</v>
      </c>
      <c r="D12" s="13" t="s">
        <v>11</v>
      </c>
      <c r="E12" s="13" t="s">
        <v>185</v>
      </c>
      <c r="F12" s="14">
        <v>300</v>
      </c>
      <c r="G12" s="13">
        <v>200</v>
      </c>
      <c r="H12" s="38" t="s">
        <v>170</v>
      </c>
      <c r="I12" s="38" t="s">
        <v>173</v>
      </c>
      <c r="J12" s="29">
        <v>27.599999999999998</v>
      </c>
      <c r="K12" s="29">
        <f>TBEstoque[[#This Row],[ESTOQUE ATUAL]]*TBEstoque[[#This Row],[VALOR UNIT. (R$)]]</f>
        <v>8280</v>
      </c>
      <c r="L12" s="13">
        <v>15295</v>
      </c>
      <c r="M12" s="13" t="s">
        <v>239</v>
      </c>
    </row>
    <row r="13" spans="2:13" ht="16.8">
      <c r="B13" s="15">
        <v>832</v>
      </c>
      <c r="C13" s="13" t="s">
        <v>5</v>
      </c>
      <c r="D13" s="13" t="s">
        <v>122</v>
      </c>
      <c r="E13" s="13" t="s">
        <v>184</v>
      </c>
      <c r="F13" s="14">
        <v>10</v>
      </c>
      <c r="G13" s="14">
        <v>1</v>
      </c>
      <c r="H13" s="38" t="s">
        <v>172</v>
      </c>
      <c r="I13" s="38" t="s">
        <v>173</v>
      </c>
      <c r="J13" s="29">
        <v>0</v>
      </c>
      <c r="K13" s="29">
        <f>TBEstoque[[#This Row],[ESTOQUE ATUAL]]*TBEstoque[[#This Row],[VALOR UNIT. (R$)]]</f>
        <v>0</v>
      </c>
      <c r="L13" s="13">
        <v>998</v>
      </c>
      <c r="M13" s="13" t="s">
        <v>240</v>
      </c>
    </row>
    <row r="14" spans="2:13" ht="16.8">
      <c r="B14" s="15">
        <v>20822</v>
      </c>
      <c r="C14" s="13" t="s">
        <v>5</v>
      </c>
      <c r="D14" s="13" t="s">
        <v>91</v>
      </c>
      <c r="E14" s="13" t="s">
        <v>186</v>
      </c>
      <c r="F14" s="14">
        <v>15</v>
      </c>
      <c r="G14" s="14">
        <v>5</v>
      </c>
      <c r="H14" s="38" t="s">
        <v>172</v>
      </c>
      <c r="I14" s="38" t="s">
        <v>173</v>
      </c>
      <c r="J14" s="29">
        <v>229.99999999999997</v>
      </c>
      <c r="K14" s="29">
        <f>TBEstoque[[#This Row],[ESTOQUE ATUAL]]*TBEstoque[[#This Row],[VALOR UNIT. (R$)]]</f>
        <v>3449.9999999999995</v>
      </c>
      <c r="L14" s="13">
        <v>130064</v>
      </c>
      <c r="M14" s="13" t="s">
        <v>241</v>
      </c>
    </row>
    <row r="15" spans="2:13" ht="16.8">
      <c r="B15" s="15">
        <v>20824</v>
      </c>
      <c r="C15" s="13" t="s">
        <v>5</v>
      </c>
      <c r="D15" s="13" t="s">
        <v>93</v>
      </c>
      <c r="E15" s="13" t="s">
        <v>186</v>
      </c>
      <c r="F15" s="14">
        <v>20000</v>
      </c>
      <c r="G15" s="14">
        <v>10000</v>
      </c>
      <c r="H15" s="38" t="s">
        <v>170</v>
      </c>
      <c r="I15" s="38" t="s">
        <v>173</v>
      </c>
      <c r="J15" s="29">
        <v>1.081</v>
      </c>
      <c r="K15" s="29">
        <f>TBEstoque[[#This Row],[ESTOQUE ATUAL]]*TBEstoque[[#This Row],[VALOR UNIT. (R$)]]</f>
        <v>21620</v>
      </c>
      <c r="L15" s="13">
        <v>33390</v>
      </c>
      <c r="M15" s="13" t="s">
        <v>242</v>
      </c>
    </row>
    <row r="16" spans="2:13" ht="16.8">
      <c r="B16" s="15">
        <v>20825</v>
      </c>
      <c r="C16" s="13" t="s">
        <v>5</v>
      </c>
      <c r="D16" s="13" t="s">
        <v>77</v>
      </c>
      <c r="E16" s="13" t="s">
        <v>186</v>
      </c>
      <c r="F16" s="14">
        <v>18000</v>
      </c>
      <c r="G16" s="14">
        <v>8000</v>
      </c>
      <c r="H16" s="38" t="s">
        <v>170</v>
      </c>
      <c r="I16" s="38" t="s">
        <v>173</v>
      </c>
      <c r="J16" s="29">
        <v>0.89699999999999991</v>
      </c>
      <c r="K16" s="29">
        <f>TBEstoque[[#This Row],[ESTOQUE ATUAL]]*TBEstoque[[#This Row],[VALOR UNIT. (R$)]]</f>
        <v>16145.999999999998</v>
      </c>
      <c r="L16" s="13">
        <v>33644</v>
      </c>
      <c r="M16" s="13" t="s">
        <v>243</v>
      </c>
    </row>
    <row r="17" spans="2:13" ht="16.8">
      <c r="B17" s="15">
        <v>20826</v>
      </c>
      <c r="C17" s="13" t="s">
        <v>5</v>
      </c>
      <c r="D17" s="13" t="s">
        <v>36</v>
      </c>
      <c r="E17" s="13" t="s">
        <v>186</v>
      </c>
      <c r="F17" s="14">
        <v>16000</v>
      </c>
      <c r="G17" s="14">
        <v>6000</v>
      </c>
      <c r="H17" s="38" t="s">
        <v>170</v>
      </c>
      <c r="I17" s="38" t="s">
        <v>173</v>
      </c>
      <c r="J17" s="29">
        <v>1.3684999999999998</v>
      </c>
      <c r="K17" s="29">
        <f>TBEstoque[[#This Row],[ESTOQUE ATUAL]]*TBEstoque[[#This Row],[VALOR UNIT. (R$)]]</f>
        <v>21895.999999999996</v>
      </c>
      <c r="L17" s="13">
        <v>33644</v>
      </c>
      <c r="M17" s="13" t="s">
        <v>244</v>
      </c>
    </row>
    <row r="18" spans="2:13" ht="16.8">
      <c r="B18" s="15">
        <v>20827</v>
      </c>
      <c r="C18" s="13" t="s">
        <v>5</v>
      </c>
      <c r="D18" s="13" t="s">
        <v>90</v>
      </c>
      <c r="E18" s="13" t="s">
        <v>186</v>
      </c>
      <c r="F18" s="14">
        <v>14000</v>
      </c>
      <c r="G18" s="14">
        <v>4000</v>
      </c>
      <c r="H18" s="38" t="s">
        <v>172</v>
      </c>
      <c r="I18" s="38" t="s">
        <v>173</v>
      </c>
      <c r="J18" s="29">
        <v>3.3349999999999995</v>
      </c>
      <c r="K18" s="29">
        <f>TBEstoque[[#This Row],[ESTOQUE ATUAL]]*TBEstoque[[#This Row],[VALOR UNIT. (R$)]]</f>
        <v>46689.999999999993</v>
      </c>
      <c r="L18" s="13">
        <v>32636</v>
      </c>
      <c r="M18" s="13" t="s">
        <v>245</v>
      </c>
    </row>
    <row r="19" spans="2:13" ht="16.8">
      <c r="B19" s="15">
        <v>20828</v>
      </c>
      <c r="C19" s="13" t="s">
        <v>5</v>
      </c>
      <c r="D19" s="13" t="s">
        <v>37</v>
      </c>
      <c r="E19" s="13" t="s">
        <v>186</v>
      </c>
      <c r="F19" s="14">
        <v>12000</v>
      </c>
      <c r="G19" s="14">
        <v>2000</v>
      </c>
      <c r="H19" s="38" t="s">
        <v>172</v>
      </c>
      <c r="I19" s="38" t="s">
        <v>173</v>
      </c>
      <c r="J19" s="29">
        <v>5.5430000000000001</v>
      </c>
      <c r="K19" s="29">
        <f>TBEstoque[[#This Row],[ESTOQUE ATUAL]]*TBEstoque[[#This Row],[VALOR UNIT. (R$)]]</f>
        <v>66516</v>
      </c>
      <c r="L19" s="13">
        <v>33152</v>
      </c>
      <c r="M19" s="13" t="s">
        <v>246</v>
      </c>
    </row>
    <row r="20" spans="2:13" ht="16.8">
      <c r="B20" s="15">
        <v>20910</v>
      </c>
      <c r="C20" s="13" t="s">
        <v>5</v>
      </c>
      <c r="D20" s="13" t="s">
        <v>85</v>
      </c>
      <c r="E20" s="13" t="s">
        <v>186</v>
      </c>
      <c r="F20" s="14">
        <v>10000</v>
      </c>
      <c r="G20" s="14">
        <v>1000</v>
      </c>
      <c r="H20" s="38" t="s">
        <v>172</v>
      </c>
      <c r="I20" s="38" t="s">
        <v>173</v>
      </c>
      <c r="J20" s="29">
        <v>5.5430000000000001</v>
      </c>
      <c r="K20" s="29">
        <f>TBEstoque[[#This Row],[ESTOQUE ATUAL]]*TBEstoque[[#This Row],[VALOR UNIT. (R$)]]</f>
        <v>55430</v>
      </c>
      <c r="L20" s="13">
        <v>33152</v>
      </c>
      <c r="M20" s="13" t="s">
        <v>247</v>
      </c>
    </row>
    <row r="21" spans="2:13" ht="16.8">
      <c r="B21" s="15">
        <v>20829</v>
      </c>
      <c r="C21" s="13" t="s">
        <v>5</v>
      </c>
      <c r="D21" s="13" t="s">
        <v>79</v>
      </c>
      <c r="E21" s="13" t="s">
        <v>186</v>
      </c>
      <c r="F21" s="14">
        <v>1000</v>
      </c>
      <c r="G21" s="14">
        <v>500</v>
      </c>
      <c r="H21" s="38" t="s">
        <v>172</v>
      </c>
      <c r="I21" s="38" t="s">
        <v>173</v>
      </c>
      <c r="J21" s="29">
        <v>4.83</v>
      </c>
      <c r="K21" s="29">
        <f>TBEstoque[[#This Row],[ESTOQUE ATUAL]]*TBEstoque[[#This Row],[VALOR UNIT. (R$)]]</f>
        <v>4830</v>
      </c>
      <c r="L21" s="13">
        <v>2759</v>
      </c>
      <c r="M21" s="13" t="s">
        <v>248</v>
      </c>
    </row>
    <row r="22" spans="2:13" ht="16.8">
      <c r="B22" s="15">
        <v>20830</v>
      </c>
      <c r="C22" s="13" t="s">
        <v>5</v>
      </c>
      <c r="D22" s="13" t="s">
        <v>80</v>
      </c>
      <c r="E22" s="13" t="s">
        <v>186</v>
      </c>
      <c r="F22" s="14">
        <v>750</v>
      </c>
      <c r="G22" s="14">
        <v>250</v>
      </c>
      <c r="H22" s="38" t="s">
        <v>172</v>
      </c>
      <c r="I22" s="38" t="s">
        <v>173</v>
      </c>
      <c r="J22" s="29">
        <v>6.3594999999999997</v>
      </c>
      <c r="K22" s="29">
        <f>TBEstoque[[#This Row],[ESTOQUE ATUAL]]*TBEstoque[[#This Row],[VALOR UNIT. (R$)]]</f>
        <v>4769.625</v>
      </c>
      <c r="L22" s="13">
        <v>2759</v>
      </c>
      <c r="M22" s="13" t="s">
        <v>249</v>
      </c>
    </row>
    <row r="23" spans="2:13" ht="16.8">
      <c r="B23" s="15">
        <v>20831</v>
      </c>
      <c r="C23" s="13" t="s">
        <v>5</v>
      </c>
      <c r="D23" s="13" t="s">
        <v>99</v>
      </c>
      <c r="E23" s="13" t="s">
        <v>186</v>
      </c>
      <c r="F23" s="14">
        <v>250</v>
      </c>
      <c r="G23" s="14">
        <v>50</v>
      </c>
      <c r="H23" s="38" t="s">
        <v>171</v>
      </c>
      <c r="I23" s="38" t="s">
        <v>174</v>
      </c>
      <c r="J23" s="29">
        <v>8.7054999999999989</v>
      </c>
      <c r="K23" s="29">
        <f>TBEstoque[[#This Row],[ESTOQUE ATUAL]]*TBEstoque[[#This Row],[VALOR UNIT. (R$)]]</f>
        <v>2176.3749999999995</v>
      </c>
      <c r="L23" s="13">
        <v>2759</v>
      </c>
      <c r="M23" s="13" t="s">
        <v>250</v>
      </c>
    </row>
    <row r="24" spans="2:13" ht="16.8">
      <c r="B24" s="15">
        <v>20832</v>
      </c>
      <c r="C24" s="13" t="s">
        <v>5</v>
      </c>
      <c r="D24" s="13" t="s">
        <v>33</v>
      </c>
      <c r="E24" s="13" t="s">
        <v>186</v>
      </c>
      <c r="F24" s="14">
        <v>20000</v>
      </c>
      <c r="G24" s="14">
        <v>5000</v>
      </c>
      <c r="H24" s="38" t="s">
        <v>170</v>
      </c>
      <c r="I24" s="38" t="s">
        <v>173</v>
      </c>
      <c r="J24" s="29">
        <v>0.83949999999999991</v>
      </c>
      <c r="K24" s="29">
        <f>TBEstoque[[#This Row],[ESTOQUE ATUAL]]*TBEstoque[[#This Row],[VALOR UNIT. (R$)]]</f>
        <v>16790</v>
      </c>
      <c r="L24" s="13">
        <v>1795</v>
      </c>
      <c r="M24" s="13" t="s">
        <v>251</v>
      </c>
    </row>
    <row r="25" spans="2:13" ht="16.8">
      <c r="B25" s="15">
        <v>20833</v>
      </c>
      <c r="C25" s="13" t="s">
        <v>5</v>
      </c>
      <c r="D25" s="13" t="s">
        <v>34</v>
      </c>
      <c r="E25" s="13" t="s">
        <v>186</v>
      </c>
      <c r="F25" s="14">
        <v>30000</v>
      </c>
      <c r="G25" s="14">
        <v>10000</v>
      </c>
      <c r="H25" s="38" t="s">
        <v>170</v>
      </c>
      <c r="I25" s="38" t="s">
        <v>173</v>
      </c>
      <c r="J25" s="29">
        <v>0.51749999999999996</v>
      </c>
      <c r="K25" s="29">
        <f>TBEstoque[[#This Row],[ESTOQUE ATUAL]]*TBEstoque[[#This Row],[VALOR UNIT. (R$)]]</f>
        <v>15524.999999999998</v>
      </c>
      <c r="L25" s="13">
        <v>1795</v>
      </c>
      <c r="M25" s="13" t="s">
        <v>252</v>
      </c>
    </row>
    <row r="26" spans="2:13" ht="16.8">
      <c r="B26" s="15">
        <v>20834</v>
      </c>
      <c r="C26" s="13" t="s">
        <v>5</v>
      </c>
      <c r="D26" s="13" t="s">
        <v>102</v>
      </c>
      <c r="E26" s="13" t="s">
        <v>186</v>
      </c>
      <c r="F26" s="14">
        <v>25000</v>
      </c>
      <c r="G26" s="14">
        <v>7500</v>
      </c>
      <c r="H26" s="38" t="s">
        <v>170</v>
      </c>
      <c r="I26" s="38" t="s">
        <v>173</v>
      </c>
      <c r="J26" s="29">
        <v>0.253</v>
      </c>
      <c r="K26" s="29">
        <f>TBEstoque[[#This Row],[ESTOQUE ATUAL]]*TBEstoque[[#This Row],[VALOR UNIT. (R$)]]</f>
        <v>6325</v>
      </c>
      <c r="L26" s="13">
        <v>10323</v>
      </c>
      <c r="M26" s="13" t="s">
        <v>253</v>
      </c>
    </row>
    <row r="27" spans="2:13" ht="16.8">
      <c r="B27" s="15">
        <v>20835</v>
      </c>
      <c r="C27" s="13" t="s">
        <v>5</v>
      </c>
      <c r="D27" s="13" t="s">
        <v>84</v>
      </c>
      <c r="E27" s="13" t="s">
        <v>186</v>
      </c>
      <c r="F27" s="14">
        <v>30000</v>
      </c>
      <c r="G27" s="14">
        <v>10000</v>
      </c>
      <c r="H27" s="38" t="s">
        <v>170</v>
      </c>
      <c r="I27" s="38" t="s">
        <v>173</v>
      </c>
      <c r="J27" s="29">
        <v>0.161</v>
      </c>
      <c r="K27" s="29">
        <f>TBEstoque[[#This Row],[ESTOQUE ATUAL]]*TBEstoque[[#This Row],[VALOR UNIT. (R$)]]</f>
        <v>4830</v>
      </c>
      <c r="L27" s="13">
        <v>10323</v>
      </c>
      <c r="M27" s="13" t="s">
        <v>254</v>
      </c>
    </row>
    <row r="28" spans="2:13" ht="16.8">
      <c r="B28" s="15">
        <v>20837</v>
      </c>
      <c r="C28" s="13" t="s">
        <v>5</v>
      </c>
      <c r="D28" s="13" t="s">
        <v>104</v>
      </c>
      <c r="E28" s="13" t="s">
        <v>186</v>
      </c>
      <c r="F28" s="14">
        <v>1000</v>
      </c>
      <c r="G28" s="14">
        <v>250</v>
      </c>
      <c r="H28" s="38" t="s">
        <v>170</v>
      </c>
      <c r="I28" s="38" t="s">
        <v>173</v>
      </c>
      <c r="J28" s="29">
        <v>173.86849999999998</v>
      </c>
      <c r="K28" s="29">
        <f>TBEstoque[[#This Row],[ESTOQUE ATUAL]]*TBEstoque[[#This Row],[VALOR UNIT. (R$)]]</f>
        <v>173868.49999999997</v>
      </c>
      <c r="L28" s="13">
        <v>6895</v>
      </c>
      <c r="M28" s="13" t="s">
        <v>234</v>
      </c>
    </row>
    <row r="29" spans="2:13" ht="16.8">
      <c r="B29" s="15">
        <v>20838</v>
      </c>
      <c r="C29" s="13" t="s">
        <v>5</v>
      </c>
      <c r="D29" s="13" t="s">
        <v>76</v>
      </c>
      <c r="E29" s="13" t="s">
        <v>186</v>
      </c>
      <c r="F29" s="14">
        <v>2500</v>
      </c>
      <c r="G29" s="14">
        <v>1500</v>
      </c>
      <c r="H29" s="38" t="s">
        <v>170</v>
      </c>
      <c r="I29" s="38" t="s">
        <v>173</v>
      </c>
      <c r="J29" s="29">
        <v>24.770999999999997</v>
      </c>
      <c r="K29" s="29">
        <f>TBEstoque[[#This Row],[ESTOQUE ATUAL]]*TBEstoque[[#This Row],[VALOR UNIT. (R$)]]</f>
        <v>61927.499999999993</v>
      </c>
      <c r="L29" s="13">
        <v>7115</v>
      </c>
      <c r="M29" s="13" t="s">
        <v>234</v>
      </c>
    </row>
    <row r="30" spans="2:13" ht="16.8">
      <c r="B30" s="15">
        <v>20836</v>
      </c>
      <c r="C30" s="13" t="s">
        <v>5</v>
      </c>
      <c r="D30" s="13" t="s">
        <v>62</v>
      </c>
      <c r="E30" s="13" t="s">
        <v>186</v>
      </c>
      <c r="F30" s="14">
        <v>400</v>
      </c>
      <c r="G30" s="14">
        <v>50</v>
      </c>
      <c r="H30" s="38" t="s">
        <v>172</v>
      </c>
      <c r="I30" s="38" t="s">
        <v>173</v>
      </c>
      <c r="J30" s="29">
        <v>0</v>
      </c>
      <c r="K30" s="29">
        <f>TBEstoque[[#This Row],[ESTOQUE ATUAL]]*TBEstoque[[#This Row],[VALOR UNIT. (R$)]]</f>
        <v>0</v>
      </c>
      <c r="L30" s="13">
        <v>7115</v>
      </c>
      <c r="M30" s="13" t="s">
        <v>234</v>
      </c>
    </row>
    <row r="31" spans="2:13" ht="16.8">
      <c r="B31" s="15">
        <v>20839</v>
      </c>
      <c r="C31" s="13" t="s">
        <v>5</v>
      </c>
      <c r="D31" s="13" t="s">
        <v>123</v>
      </c>
      <c r="E31" s="13" t="s">
        <v>186</v>
      </c>
      <c r="F31" s="14">
        <v>500</v>
      </c>
      <c r="G31" s="14">
        <v>150</v>
      </c>
      <c r="H31" s="38" t="s">
        <v>170</v>
      </c>
      <c r="I31" s="38" t="s">
        <v>173</v>
      </c>
      <c r="J31" s="29">
        <v>25.000999999999998</v>
      </c>
      <c r="K31" s="29">
        <f>TBEstoque[[#This Row],[ESTOQUE ATUAL]]*TBEstoque[[#This Row],[VALOR UNIT. (R$)]]</f>
        <v>12500.499999999998</v>
      </c>
      <c r="L31" s="13">
        <v>2057</v>
      </c>
      <c r="M31" s="13" t="s">
        <v>234</v>
      </c>
    </row>
    <row r="32" spans="2:13" ht="16.8">
      <c r="B32" s="15">
        <v>20840</v>
      </c>
      <c r="C32" s="13" t="s">
        <v>5</v>
      </c>
      <c r="D32" s="13" t="s">
        <v>108</v>
      </c>
      <c r="E32" s="13" t="s">
        <v>186</v>
      </c>
      <c r="F32" s="14">
        <v>72</v>
      </c>
      <c r="G32" s="14">
        <v>24</v>
      </c>
      <c r="H32" s="38" t="s">
        <v>172</v>
      </c>
      <c r="I32" s="38" t="s">
        <v>173</v>
      </c>
      <c r="J32" s="29">
        <v>16.559999999999999</v>
      </c>
      <c r="K32" s="29">
        <f>TBEstoque[[#This Row],[ESTOQUE ATUAL]]*TBEstoque[[#This Row],[VALOR UNIT. (R$)]]</f>
        <v>1192.32</v>
      </c>
      <c r="L32" s="13">
        <v>17922</v>
      </c>
      <c r="M32" s="13" t="s">
        <v>234</v>
      </c>
    </row>
    <row r="33" spans="2:13" ht="16.8">
      <c r="B33" s="15">
        <v>20841</v>
      </c>
      <c r="C33" s="13" t="s">
        <v>5</v>
      </c>
      <c r="D33" s="13" t="s">
        <v>110</v>
      </c>
      <c r="E33" s="13" t="s">
        <v>186</v>
      </c>
      <c r="F33" s="14">
        <v>200</v>
      </c>
      <c r="G33" s="14">
        <v>20</v>
      </c>
      <c r="H33" s="38" t="s">
        <v>172</v>
      </c>
      <c r="I33" s="38" t="s">
        <v>174</v>
      </c>
      <c r="J33" s="29">
        <v>0</v>
      </c>
      <c r="K33" s="29">
        <f>TBEstoque[[#This Row],[ESTOQUE ATUAL]]*TBEstoque[[#This Row],[VALOR UNIT. (R$)]]</f>
        <v>0</v>
      </c>
      <c r="L33" s="13">
        <v>17922</v>
      </c>
      <c r="M33" s="13" t="s">
        <v>234</v>
      </c>
    </row>
    <row r="34" spans="2:13" ht="16.8">
      <c r="B34" s="15">
        <v>20846</v>
      </c>
      <c r="C34" s="13" t="s">
        <v>5</v>
      </c>
      <c r="D34" s="13" t="s">
        <v>35</v>
      </c>
      <c r="E34" s="13" t="s">
        <v>186</v>
      </c>
      <c r="F34" s="14">
        <v>250</v>
      </c>
      <c r="G34" s="14">
        <v>50</v>
      </c>
      <c r="H34" s="38" t="s">
        <v>172</v>
      </c>
      <c r="I34" s="38" t="s">
        <v>173</v>
      </c>
      <c r="J34" s="29">
        <v>1.7594999999999998</v>
      </c>
      <c r="K34" s="29">
        <f>TBEstoque[[#This Row],[ESTOQUE ATUAL]]*TBEstoque[[#This Row],[VALOR UNIT. (R$)]]</f>
        <v>439.87499999999994</v>
      </c>
      <c r="L34" s="13">
        <v>1019248</v>
      </c>
      <c r="M34" s="13" t="s">
        <v>234</v>
      </c>
    </row>
    <row r="35" spans="2:13" ht="16.8">
      <c r="B35" s="15">
        <v>20842</v>
      </c>
      <c r="C35" s="13" t="s">
        <v>5</v>
      </c>
      <c r="D35" s="13" t="s">
        <v>71</v>
      </c>
      <c r="E35" s="13" t="s">
        <v>183</v>
      </c>
      <c r="F35" s="14">
        <v>500</v>
      </c>
      <c r="G35" s="14">
        <v>150</v>
      </c>
      <c r="H35" s="38" t="s">
        <v>172</v>
      </c>
      <c r="I35" s="38" t="s">
        <v>173</v>
      </c>
      <c r="J35" s="29">
        <v>42.538499999999999</v>
      </c>
      <c r="K35" s="29">
        <f>TBEstoque[[#This Row],[ESTOQUE ATUAL]]*TBEstoque[[#This Row],[VALOR UNIT. (R$)]]</f>
        <v>21269.25</v>
      </c>
      <c r="L35" s="13">
        <v>57875</v>
      </c>
      <c r="M35" s="13" t="s">
        <v>234</v>
      </c>
    </row>
    <row r="36" spans="2:13" ht="16.8">
      <c r="B36" s="15">
        <v>20843</v>
      </c>
      <c r="C36" s="13" t="s">
        <v>5</v>
      </c>
      <c r="D36" s="13" t="s">
        <v>115</v>
      </c>
      <c r="E36" s="13" t="s">
        <v>186</v>
      </c>
      <c r="F36" s="14">
        <v>50</v>
      </c>
      <c r="G36" s="14">
        <v>10</v>
      </c>
      <c r="H36" s="38" t="s">
        <v>172</v>
      </c>
      <c r="I36" s="38" t="s">
        <v>173</v>
      </c>
      <c r="J36" s="29">
        <v>111.32</v>
      </c>
      <c r="K36" s="29">
        <f>TBEstoque[[#This Row],[ESTOQUE ATUAL]]*TBEstoque[[#This Row],[VALOR UNIT. (R$)]]</f>
        <v>5566</v>
      </c>
      <c r="L36" s="13">
        <v>1037184</v>
      </c>
      <c r="M36" s="13" t="s">
        <v>234</v>
      </c>
    </row>
    <row r="37" spans="2:13" ht="16.8">
      <c r="B37" s="15">
        <v>20844</v>
      </c>
      <c r="C37" s="13" t="s">
        <v>5</v>
      </c>
      <c r="D37" s="13" t="s">
        <v>78</v>
      </c>
      <c r="E37" s="13" t="s">
        <v>185</v>
      </c>
      <c r="F37" s="14">
        <v>500</v>
      </c>
      <c r="G37" s="14">
        <v>300</v>
      </c>
      <c r="H37" s="38" t="s">
        <v>170</v>
      </c>
      <c r="I37" s="38" t="s">
        <v>173</v>
      </c>
      <c r="J37" s="29">
        <v>5.1404999999999994</v>
      </c>
      <c r="K37" s="29">
        <f>TBEstoque[[#This Row],[ESTOQUE ATUAL]]*TBEstoque[[#This Row],[VALOR UNIT. (R$)]]</f>
        <v>2570.2499999999995</v>
      </c>
      <c r="L37" s="13">
        <v>17470</v>
      </c>
      <c r="M37" s="13" t="s">
        <v>234</v>
      </c>
    </row>
    <row r="38" spans="2:13" ht="16.8">
      <c r="B38" s="15">
        <v>20890</v>
      </c>
      <c r="C38" s="13" t="s">
        <v>125</v>
      </c>
      <c r="D38" s="13" t="s">
        <v>54</v>
      </c>
      <c r="E38" s="13" t="s">
        <v>185</v>
      </c>
      <c r="F38" s="14">
        <v>300</v>
      </c>
      <c r="G38" s="13">
        <v>100</v>
      </c>
      <c r="H38" s="38" t="s">
        <v>170</v>
      </c>
      <c r="I38" s="38" t="s">
        <v>173</v>
      </c>
      <c r="J38" s="29">
        <v>27.588499999999996</v>
      </c>
      <c r="K38" s="29">
        <f>TBEstoque[[#This Row],[ESTOQUE ATUAL]]*TBEstoque[[#This Row],[VALOR UNIT. (R$)]]</f>
        <v>8276.5499999999993</v>
      </c>
      <c r="L38" s="13">
        <v>102025</v>
      </c>
      <c r="M38" s="13" t="s">
        <v>234</v>
      </c>
    </row>
    <row r="39" spans="2:13" ht="16.8">
      <c r="B39" s="15">
        <v>20882</v>
      </c>
      <c r="C39" s="13" t="s">
        <v>125</v>
      </c>
      <c r="D39" s="13" t="s">
        <v>94</v>
      </c>
      <c r="E39" s="13" t="s">
        <v>183</v>
      </c>
      <c r="F39" s="14">
        <v>10</v>
      </c>
      <c r="G39" s="13">
        <v>2</v>
      </c>
      <c r="H39" s="38" t="s">
        <v>172</v>
      </c>
      <c r="I39" s="38" t="s">
        <v>174</v>
      </c>
      <c r="J39" s="29">
        <v>0</v>
      </c>
      <c r="K39" s="29">
        <f>TBEstoque[[#This Row],[ESTOQUE ATUAL]]*TBEstoque[[#This Row],[VALOR UNIT. (R$)]]</f>
        <v>0</v>
      </c>
      <c r="L39" s="13">
        <v>102025</v>
      </c>
      <c r="M39" s="13" t="s">
        <v>234</v>
      </c>
    </row>
    <row r="40" spans="2:13" ht="16.8">
      <c r="B40" s="15">
        <v>20911</v>
      </c>
      <c r="C40" s="13" t="s">
        <v>125</v>
      </c>
      <c r="D40" s="13" t="s">
        <v>31</v>
      </c>
      <c r="E40" s="13" t="s">
        <v>186</v>
      </c>
      <c r="F40" s="14">
        <v>2500</v>
      </c>
      <c r="G40" s="13">
        <v>500</v>
      </c>
      <c r="H40" s="38" t="s">
        <v>170</v>
      </c>
      <c r="I40" s="38" t="s">
        <v>173</v>
      </c>
      <c r="J40" s="29">
        <v>2.2079999999999997</v>
      </c>
      <c r="K40" s="29">
        <f>TBEstoque[[#This Row],[ESTOQUE ATUAL]]*TBEstoque[[#This Row],[VALOR UNIT. (R$)]]</f>
        <v>5519.9999999999991</v>
      </c>
      <c r="L40" s="13">
        <v>10106</v>
      </c>
      <c r="M40" s="13" t="s">
        <v>234</v>
      </c>
    </row>
    <row r="41" spans="2:13" ht="16.8">
      <c r="B41" s="15">
        <v>20912</v>
      </c>
      <c r="C41" s="13" t="s">
        <v>125</v>
      </c>
      <c r="D41" s="13" t="s">
        <v>32</v>
      </c>
      <c r="E41" s="13" t="s">
        <v>186</v>
      </c>
      <c r="F41" s="14">
        <v>1500</v>
      </c>
      <c r="G41" s="13">
        <v>750</v>
      </c>
      <c r="H41" s="38" t="s">
        <v>170</v>
      </c>
      <c r="I41" s="38" t="s">
        <v>173</v>
      </c>
      <c r="J41" s="29">
        <v>1.7709999999999999</v>
      </c>
      <c r="K41" s="29">
        <f>TBEstoque[[#This Row],[ESTOQUE ATUAL]]*TBEstoque[[#This Row],[VALOR UNIT. (R$)]]</f>
        <v>2656.5</v>
      </c>
      <c r="L41" s="13">
        <v>10106</v>
      </c>
      <c r="M41" s="13" t="s">
        <v>234</v>
      </c>
    </row>
    <row r="42" spans="2:13" ht="16.8">
      <c r="B42" s="15">
        <v>20891</v>
      </c>
      <c r="C42" s="13" t="s">
        <v>125</v>
      </c>
      <c r="D42" s="13" t="s">
        <v>97</v>
      </c>
      <c r="E42" s="13" t="s">
        <v>183</v>
      </c>
      <c r="F42" s="14">
        <v>120</v>
      </c>
      <c r="G42" s="13">
        <v>20</v>
      </c>
      <c r="H42" s="38" t="s">
        <v>171</v>
      </c>
      <c r="I42" s="38" t="s">
        <v>174</v>
      </c>
      <c r="J42" s="29">
        <v>33.349999999999994</v>
      </c>
      <c r="K42" s="29">
        <f>TBEstoque[[#This Row],[ESTOQUE ATUAL]]*TBEstoque[[#This Row],[VALOR UNIT. (R$)]]</f>
        <v>4001.9999999999991</v>
      </c>
      <c r="L42" s="13">
        <v>10106</v>
      </c>
      <c r="M42" s="13" t="s">
        <v>234</v>
      </c>
    </row>
    <row r="43" spans="2:13" ht="16.8">
      <c r="B43" s="15">
        <v>20892</v>
      </c>
      <c r="C43" s="13" t="s">
        <v>125</v>
      </c>
      <c r="D43" s="13" t="s">
        <v>88</v>
      </c>
      <c r="E43" s="13" t="s">
        <v>183</v>
      </c>
      <c r="F43" s="14">
        <v>140</v>
      </c>
      <c r="G43" s="13">
        <v>25</v>
      </c>
      <c r="H43" s="38" t="s">
        <v>171</v>
      </c>
      <c r="I43" s="38" t="s">
        <v>174</v>
      </c>
      <c r="J43" s="29">
        <v>33.349999999999994</v>
      </c>
      <c r="K43" s="29">
        <f>TBEstoque[[#This Row],[ESTOQUE ATUAL]]*TBEstoque[[#This Row],[VALOR UNIT. (R$)]]</f>
        <v>4668.9999999999991</v>
      </c>
      <c r="L43" s="13">
        <v>10106</v>
      </c>
      <c r="M43" s="13" t="s">
        <v>234</v>
      </c>
    </row>
    <row r="44" spans="2:13" ht="16.8">
      <c r="B44" s="15">
        <v>20893</v>
      </c>
      <c r="C44" s="13" t="s">
        <v>125</v>
      </c>
      <c r="D44" s="13" t="s">
        <v>87</v>
      </c>
      <c r="E44" s="13" t="s">
        <v>183</v>
      </c>
      <c r="F44" s="14">
        <v>160</v>
      </c>
      <c r="G44" s="13">
        <v>40</v>
      </c>
      <c r="H44" s="38" t="s">
        <v>172</v>
      </c>
      <c r="I44" s="38" t="s">
        <v>174</v>
      </c>
      <c r="J44" s="29">
        <v>33.349999999999994</v>
      </c>
      <c r="K44" s="29">
        <f>TBEstoque[[#This Row],[ESTOQUE ATUAL]]*TBEstoque[[#This Row],[VALOR UNIT. (R$)]]</f>
        <v>5335.9999999999991</v>
      </c>
      <c r="L44" s="13">
        <v>7373</v>
      </c>
      <c r="M44" s="13" t="s">
        <v>234</v>
      </c>
    </row>
    <row r="45" spans="2:13" ht="16.8">
      <c r="B45" s="15">
        <v>20894</v>
      </c>
      <c r="C45" s="13" t="s">
        <v>125</v>
      </c>
      <c r="D45" s="13" t="s">
        <v>83</v>
      </c>
      <c r="E45" s="13" t="s">
        <v>183</v>
      </c>
      <c r="F45" s="14">
        <v>150</v>
      </c>
      <c r="G45" s="13">
        <v>45</v>
      </c>
      <c r="H45" s="38" t="s">
        <v>172</v>
      </c>
      <c r="I45" s="38" t="s">
        <v>174</v>
      </c>
      <c r="J45" s="29">
        <v>33.349999999999994</v>
      </c>
      <c r="K45" s="29">
        <f>TBEstoque[[#This Row],[ESTOQUE ATUAL]]*TBEstoque[[#This Row],[VALOR UNIT. (R$)]]</f>
        <v>5002.4999999999991</v>
      </c>
      <c r="L45" s="13">
        <v>7373</v>
      </c>
      <c r="M45" s="13" t="s">
        <v>234</v>
      </c>
    </row>
    <row r="46" spans="2:13" ht="16.8">
      <c r="B46" s="15">
        <v>20895</v>
      </c>
      <c r="C46" s="13" t="s">
        <v>125</v>
      </c>
      <c r="D46" s="13" t="s">
        <v>100</v>
      </c>
      <c r="E46" s="13" t="s">
        <v>183</v>
      </c>
      <c r="F46" s="14">
        <v>200</v>
      </c>
      <c r="G46" s="13">
        <v>50</v>
      </c>
      <c r="H46" s="38" t="s">
        <v>172</v>
      </c>
      <c r="I46" s="38" t="s">
        <v>174</v>
      </c>
      <c r="J46" s="29">
        <v>33.349999999999994</v>
      </c>
      <c r="K46" s="29">
        <f>TBEstoque[[#This Row],[ESTOQUE ATUAL]]*TBEstoque[[#This Row],[VALOR UNIT. (R$)]]</f>
        <v>6669.9999999999991</v>
      </c>
      <c r="L46" s="13">
        <v>7373</v>
      </c>
      <c r="M46" s="13" t="s">
        <v>234</v>
      </c>
    </row>
    <row r="47" spans="2:13" ht="16.8">
      <c r="B47" s="15">
        <v>20896</v>
      </c>
      <c r="C47" s="13" t="s">
        <v>125</v>
      </c>
      <c r="D47" s="13" t="s">
        <v>29</v>
      </c>
      <c r="E47" s="13" t="s">
        <v>183</v>
      </c>
      <c r="F47" s="14">
        <v>250</v>
      </c>
      <c r="G47" s="13">
        <v>75</v>
      </c>
      <c r="H47" s="38" t="s">
        <v>170</v>
      </c>
      <c r="I47" s="38" t="s">
        <v>173</v>
      </c>
      <c r="J47" s="29">
        <v>33.349999999999994</v>
      </c>
      <c r="K47" s="29">
        <f>TBEstoque[[#This Row],[ESTOQUE ATUAL]]*TBEstoque[[#This Row],[VALOR UNIT. (R$)]]</f>
        <v>8337.4999999999982</v>
      </c>
      <c r="L47" s="13">
        <v>7373</v>
      </c>
      <c r="M47" s="13" t="s">
        <v>234</v>
      </c>
    </row>
    <row r="48" spans="2:13" ht="16.8">
      <c r="B48" s="15">
        <v>20897</v>
      </c>
      <c r="C48" s="13" t="s">
        <v>125</v>
      </c>
      <c r="D48" s="13" t="s">
        <v>27</v>
      </c>
      <c r="E48" s="13" t="s">
        <v>183</v>
      </c>
      <c r="F48" s="14">
        <v>275</v>
      </c>
      <c r="G48" s="13">
        <v>100</v>
      </c>
      <c r="H48" s="38" t="s">
        <v>170</v>
      </c>
      <c r="I48" s="38" t="s">
        <v>173</v>
      </c>
      <c r="J48" s="29">
        <v>33.349999999999994</v>
      </c>
      <c r="K48" s="29">
        <f>TBEstoque[[#This Row],[ESTOQUE ATUAL]]*TBEstoque[[#This Row],[VALOR UNIT. (R$)]]</f>
        <v>9171.2499999999982</v>
      </c>
      <c r="L48" s="13">
        <v>7373</v>
      </c>
      <c r="M48" s="13" t="s">
        <v>234</v>
      </c>
    </row>
    <row r="49" spans="2:13" ht="16.8">
      <c r="B49" s="15">
        <v>20898</v>
      </c>
      <c r="C49" s="13" t="s">
        <v>125</v>
      </c>
      <c r="D49" s="13" t="s">
        <v>28</v>
      </c>
      <c r="E49" s="13" t="s">
        <v>183</v>
      </c>
      <c r="F49" s="14">
        <v>275</v>
      </c>
      <c r="G49" s="13">
        <v>100</v>
      </c>
      <c r="H49" s="38" t="s">
        <v>170</v>
      </c>
      <c r="I49" s="38" t="s">
        <v>173</v>
      </c>
      <c r="J49" s="29">
        <v>33.349999999999994</v>
      </c>
      <c r="K49" s="29">
        <f>TBEstoque[[#This Row],[ESTOQUE ATUAL]]*TBEstoque[[#This Row],[VALOR UNIT. (R$)]]</f>
        <v>9171.2499999999982</v>
      </c>
      <c r="L49" s="13">
        <v>7373</v>
      </c>
      <c r="M49" s="13" t="s">
        <v>234</v>
      </c>
    </row>
    <row r="50" spans="2:13" ht="16.8">
      <c r="B50" s="15">
        <v>20899</v>
      </c>
      <c r="C50" s="13" t="s">
        <v>125</v>
      </c>
      <c r="D50" s="13" t="s">
        <v>107</v>
      </c>
      <c r="E50" s="13" t="s">
        <v>186</v>
      </c>
      <c r="F50" s="14">
        <v>350</v>
      </c>
      <c r="G50" s="13">
        <v>50</v>
      </c>
      <c r="H50" s="38" t="s">
        <v>172</v>
      </c>
      <c r="I50" s="38" t="s">
        <v>174</v>
      </c>
      <c r="J50" s="29">
        <v>33.349999999999994</v>
      </c>
      <c r="K50" s="29">
        <f>TBEstoque[[#This Row],[ESTOQUE ATUAL]]*TBEstoque[[#This Row],[VALOR UNIT. (R$)]]</f>
        <v>11672.499999999998</v>
      </c>
      <c r="L50" s="13">
        <v>7373</v>
      </c>
      <c r="M50" s="13" t="s">
        <v>234</v>
      </c>
    </row>
    <row r="51" spans="2:13" ht="16.8">
      <c r="B51" s="15">
        <v>20902</v>
      </c>
      <c r="C51" s="13" t="s">
        <v>125</v>
      </c>
      <c r="D51" s="16" t="s">
        <v>41</v>
      </c>
      <c r="E51" s="13" t="s">
        <v>185</v>
      </c>
      <c r="F51" s="14">
        <v>300</v>
      </c>
      <c r="G51" s="13">
        <v>150</v>
      </c>
      <c r="H51" s="38" t="s">
        <v>170</v>
      </c>
      <c r="I51" s="38" t="s">
        <v>173</v>
      </c>
      <c r="J51" s="29">
        <v>33.349999999999994</v>
      </c>
      <c r="K51" s="29">
        <f>TBEstoque[[#This Row],[ESTOQUE ATUAL]]*TBEstoque[[#This Row],[VALOR UNIT. (R$)]]</f>
        <v>10004.999999999998</v>
      </c>
      <c r="L51" s="13">
        <v>7373</v>
      </c>
      <c r="M51" s="13" t="s">
        <v>234</v>
      </c>
    </row>
    <row r="52" spans="2:13" ht="16.8">
      <c r="B52" s="15">
        <v>20905</v>
      </c>
      <c r="C52" s="13" t="s">
        <v>125</v>
      </c>
      <c r="D52" s="13" t="s">
        <v>109</v>
      </c>
      <c r="E52" s="13" t="s">
        <v>183</v>
      </c>
      <c r="F52" s="14">
        <v>32</v>
      </c>
      <c r="G52" s="13">
        <v>12</v>
      </c>
      <c r="H52" s="38" t="s">
        <v>172</v>
      </c>
      <c r="I52" s="38" t="s">
        <v>173</v>
      </c>
      <c r="J52" s="29">
        <v>125.11999999999999</v>
      </c>
      <c r="K52" s="29">
        <f>TBEstoque[[#This Row],[ESTOQUE ATUAL]]*TBEstoque[[#This Row],[VALOR UNIT. (R$)]]</f>
        <v>4003.8399999999997</v>
      </c>
      <c r="L52" s="13">
        <v>3896</v>
      </c>
      <c r="M52" s="13" t="s">
        <v>234</v>
      </c>
    </row>
    <row r="53" spans="2:13" ht="16.8">
      <c r="B53" s="15">
        <v>20906</v>
      </c>
      <c r="C53" s="13" t="s">
        <v>125</v>
      </c>
      <c r="D53" s="13" t="s">
        <v>111</v>
      </c>
      <c r="E53" s="13" t="s">
        <v>183</v>
      </c>
      <c r="F53" s="14">
        <v>44</v>
      </c>
      <c r="G53" s="13">
        <v>22</v>
      </c>
      <c r="H53" s="38" t="s">
        <v>172</v>
      </c>
      <c r="I53" s="38" t="s">
        <v>173</v>
      </c>
      <c r="J53" s="29">
        <v>226.435</v>
      </c>
      <c r="K53" s="29">
        <f>TBEstoque[[#This Row],[ESTOQUE ATUAL]]*TBEstoque[[#This Row],[VALOR UNIT. (R$)]]</f>
        <v>9963.14</v>
      </c>
      <c r="L53" s="13">
        <v>3896</v>
      </c>
      <c r="M53" s="13" t="s">
        <v>234</v>
      </c>
    </row>
    <row r="54" spans="2:13" ht="16.8">
      <c r="B54" s="15">
        <v>20984</v>
      </c>
      <c r="C54" s="13" t="s">
        <v>125</v>
      </c>
      <c r="D54" s="16" t="s">
        <v>30</v>
      </c>
      <c r="E54" s="13" t="s">
        <v>185</v>
      </c>
      <c r="F54" s="14">
        <v>144</v>
      </c>
      <c r="G54" s="13">
        <v>48</v>
      </c>
      <c r="H54" s="38" t="s">
        <v>170</v>
      </c>
      <c r="I54" s="38" t="s">
        <v>174</v>
      </c>
      <c r="J54" s="29">
        <v>9.6944999999999997</v>
      </c>
      <c r="K54" s="29">
        <f>TBEstoque[[#This Row],[ESTOQUE ATUAL]]*TBEstoque[[#This Row],[VALOR UNIT. (R$)]]</f>
        <v>1396.008</v>
      </c>
      <c r="L54" s="13">
        <v>897</v>
      </c>
      <c r="M54" s="13" t="s">
        <v>234</v>
      </c>
    </row>
    <row r="55" spans="2:13" ht="16.8">
      <c r="B55" s="15">
        <v>20901</v>
      </c>
      <c r="C55" s="13" t="s">
        <v>125</v>
      </c>
      <c r="D55" s="13" t="s">
        <v>53</v>
      </c>
      <c r="E55" s="13" t="s">
        <v>185</v>
      </c>
      <c r="F55" s="14">
        <v>250</v>
      </c>
      <c r="G55" s="13">
        <v>150</v>
      </c>
      <c r="H55" s="38" t="s">
        <v>170</v>
      </c>
      <c r="I55" s="38" t="s">
        <v>173</v>
      </c>
      <c r="J55" s="29">
        <v>13.799999999999999</v>
      </c>
      <c r="K55" s="29">
        <f>TBEstoque[[#This Row],[ESTOQUE ATUAL]]*TBEstoque[[#This Row],[VALOR UNIT. (R$)]]</f>
        <v>3449.9999999999995</v>
      </c>
      <c r="L55" s="13">
        <v>102444</v>
      </c>
      <c r="M55" s="13" t="s">
        <v>234</v>
      </c>
    </row>
    <row r="56" spans="2:13" ht="16.8">
      <c r="B56" s="15">
        <v>20884</v>
      </c>
      <c r="C56" s="13" t="s">
        <v>125</v>
      </c>
      <c r="D56" s="13" t="s">
        <v>69</v>
      </c>
      <c r="E56" s="13" t="s">
        <v>185</v>
      </c>
      <c r="F56" s="14">
        <v>150</v>
      </c>
      <c r="G56" s="13">
        <v>50</v>
      </c>
      <c r="H56" s="38" t="s">
        <v>172</v>
      </c>
      <c r="I56" s="38" t="s">
        <v>173</v>
      </c>
      <c r="J56" s="29">
        <v>11.27</v>
      </c>
      <c r="K56" s="29">
        <f>TBEstoque[[#This Row],[ESTOQUE ATUAL]]*TBEstoque[[#This Row],[VALOR UNIT. (R$)]]</f>
        <v>1690.5</v>
      </c>
      <c r="L56" s="13">
        <v>17470</v>
      </c>
      <c r="M56" s="13" t="s">
        <v>234</v>
      </c>
    </row>
    <row r="57" spans="2:13" ht="16.8">
      <c r="B57" s="15">
        <v>20885</v>
      </c>
      <c r="C57" s="13" t="s">
        <v>125</v>
      </c>
      <c r="D57" s="13" t="s">
        <v>57</v>
      </c>
      <c r="E57" s="13" t="s">
        <v>56</v>
      </c>
      <c r="F57" s="14">
        <v>90</v>
      </c>
      <c r="G57" s="13">
        <v>30</v>
      </c>
      <c r="H57" s="38" t="s">
        <v>171</v>
      </c>
      <c r="I57" s="38" t="s">
        <v>174</v>
      </c>
      <c r="J57" s="29">
        <v>24.15</v>
      </c>
      <c r="K57" s="29">
        <f>TBEstoque[[#This Row],[ESTOQUE ATUAL]]*TBEstoque[[#This Row],[VALOR UNIT. (R$)]]</f>
        <v>2173.5</v>
      </c>
      <c r="L57" s="13">
        <v>2667</v>
      </c>
      <c r="M57" s="13" t="s">
        <v>234</v>
      </c>
    </row>
    <row r="58" spans="2:13" ht="16.8">
      <c r="B58" s="15">
        <v>20886</v>
      </c>
      <c r="C58" s="13" t="s">
        <v>125</v>
      </c>
      <c r="D58" s="13" t="s">
        <v>55</v>
      </c>
      <c r="E58" s="13" t="s">
        <v>56</v>
      </c>
      <c r="F58" s="14">
        <v>80</v>
      </c>
      <c r="G58" s="13">
        <v>20</v>
      </c>
      <c r="H58" s="38" t="s">
        <v>172</v>
      </c>
      <c r="I58" s="38" t="s">
        <v>173</v>
      </c>
      <c r="J58" s="29">
        <v>24.15</v>
      </c>
      <c r="K58" s="29">
        <f>TBEstoque[[#This Row],[ESTOQUE ATUAL]]*TBEstoque[[#This Row],[VALOR UNIT. (R$)]]</f>
        <v>1932</v>
      </c>
      <c r="L58" s="13">
        <v>2880</v>
      </c>
      <c r="M58" s="13" t="s">
        <v>234</v>
      </c>
    </row>
    <row r="59" spans="2:13" ht="16.8">
      <c r="B59" s="15">
        <v>20887</v>
      </c>
      <c r="C59" s="13" t="s">
        <v>125</v>
      </c>
      <c r="D59" s="13" t="s">
        <v>58</v>
      </c>
      <c r="E59" s="13" t="s">
        <v>56</v>
      </c>
      <c r="F59" s="14">
        <v>70</v>
      </c>
      <c r="G59" s="13">
        <v>15</v>
      </c>
      <c r="H59" s="38" t="s">
        <v>172</v>
      </c>
      <c r="I59" s="38" t="s">
        <v>174</v>
      </c>
      <c r="J59" s="29">
        <v>22.195</v>
      </c>
      <c r="K59" s="29">
        <f>TBEstoque[[#This Row],[ESTOQUE ATUAL]]*TBEstoque[[#This Row],[VALOR UNIT. (R$)]]</f>
        <v>1553.65</v>
      </c>
      <c r="L59" s="13">
        <v>2212</v>
      </c>
      <c r="M59" s="13" t="s">
        <v>234</v>
      </c>
    </row>
    <row r="60" spans="2:13" ht="16.8">
      <c r="B60" s="15">
        <v>20888</v>
      </c>
      <c r="C60" s="13" t="s">
        <v>125</v>
      </c>
      <c r="D60" s="13" t="s">
        <v>59</v>
      </c>
      <c r="E60" s="13" t="s">
        <v>56</v>
      </c>
      <c r="F60" s="14">
        <v>60</v>
      </c>
      <c r="G60" s="13">
        <v>10</v>
      </c>
      <c r="H60" s="38" t="s">
        <v>172</v>
      </c>
      <c r="I60" s="38" t="s">
        <v>174</v>
      </c>
      <c r="J60" s="29">
        <v>22.195</v>
      </c>
      <c r="K60" s="29">
        <f>TBEstoque[[#This Row],[ESTOQUE ATUAL]]*TBEstoque[[#This Row],[VALOR UNIT. (R$)]]</f>
        <v>1331.7</v>
      </c>
      <c r="L60" s="13">
        <v>2212</v>
      </c>
      <c r="M60" s="13" t="s">
        <v>234</v>
      </c>
    </row>
    <row r="61" spans="2:13" ht="16.8">
      <c r="B61" s="15">
        <v>20913</v>
      </c>
      <c r="C61" s="13" t="s">
        <v>125</v>
      </c>
      <c r="D61" s="13" t="s">
        <v>74</v>
      </c>
      <c r="E61" s="13" t="s">
        <v>186</v>
      </c>
      <c r="F61" s="14">
        <v>450</v>
      </c>
      <c r="G61" s="13">
        <v>100</v>
      </c>
      <c r="H61" s="38" t="s">
        <v>172</v>
      </c>
      <c r="I61" s="38" t="s">
        <v>173</v>
      </c>
      <c r="J61" s="29">
        <v>1.3224999999999998</v>
      </c>
      <c r="K61" s="29">
        <f>TBEstoque[[#This Row],[ESTOQUE ATUAL]]*TBEstoque[[#This Row],[VALOR UNIT. (R$)]]</f>
        <v>595.12499999999989</v>
      </c>
      <c r="L61" s="13">
        <v>10137</v>
      </c>
      <c r="M61" s="13" t="s">
        <v>234</v>
      </c>
    </row>
    <row r="62" spans="2:13" ht="16.8">
      <c r="B62" s="15">
        <v>20914</v>
      </c>
      <c r="C62" s="13" t="s">
        <v>125</v>
      </c>
      <c r="D62" s="13" t="s">
        <v>75</v>
      </c>
      <c r="E62" s="13" t="s">
        <v>186</v>
      </c>
      <c r="F62" s="14">
        <v>300</v>
      </c>
      <c r="G62" s="13">
        <v>75</v>
      </c>
      <c r="H62" s="38" t="s">
        <v>172</v>
      </c>
      <c r="I62" s="38" t="s">
        <v>173</v>
      </c>
      <c r="J62" s="29">
        <v>0.26450000000000001</v>
      </c>
      <c r="K62" s="29">
        <f>TBEstoque[[#This Row],[ESTOQUE ATUAL]]*TBEstoque[[#This Row],[VALOR UNIT. (R$)]]</f>
        <v>79.350000000000009</v>
      </c>
      <c r="L62" s="13">
        <v>10137</v>
      </c>
      <c r="M62" s="13" t="s">
        <v>234</v>
      </c>
    </row>
    <row r="63" spans="2:13" ht="16.8">
      <c r="B63" s="15">
        <v>20903</v>
      </c>
      <c r="C63" s="13" t="s">
        <v>125</v>
      </c>
      <c r="D63" s="13" t="s">
        <v>23</v>
      </c>
      <c r="E63" s="13" t="s">
        <v>186</v>
      </c>
      <c r="F63" s="14">
        <v>200</v>
      </c>
      <c r="G63" s="13">
        <v>100</v>
      </c>
      <c r="H63" s="38" t="s">
        <v>170</v>
      </c>
      <c r="I63" s="38" t="s">
        <v>173</v>
      </c>
      <c r="J63" s="29">
        <v>131.1</v>
      </c>
      <c r="K63" s="29">
        <f>TBEstoque[[#This Row],[ESTOQUE ATUAL]]*TBEstoque[[#This Row],[VALOR UNIT. (R$)]]</f>
        <v>26220</v>
      </c>
      <c r="L63" s="13">
        <v>67551</v>
      </c>
      <c r="M63" s="13" t="s">
        <v>234</v>
      </c>
    </row>
    <row r="64" spans="2:13" ht="16.8">
      <c r="B64" s="15">
        <v>20904</v>
      </c>
      <c r="C64" s="13" t="s">
        <v>125</v>
      </c>
      <c r="D64" s="13" t="s">
        <v>120</v>
      </c>
      <c r="E64" s="13" t="s">
        <v>185</v>
      </c>
      <c r="F64" s="14">
        <v>300</v>
      </c>
      <c r="G64" s="13">
        <v>50</v>
      </c>
      <c r="H64" s="38" t="s">
        <v>170</v>
      </c>
      <c r="I64" s="38" t="s">
        <v>173</v>
      </c>
      <c r="J64" s="29">
        <v>10.327</v>
      </c>
      <c r="K64" s="29">
        <f>TBEstoque[[#This Row],[ESTOQUE ATUAL]]*TBEstoque[[#This Row],[VALOR UNIT. (R$)]]</f>
        <v>3098.1</v>
      </c>
      <c r="L64" s="13">
        <v>102444</v>
      </c>
      <c r="M64" s="13" t="s">
        <v>234</v>
      </c>
    </row>
    <row r="65" spans="2:15" ht="16.8">
      <c r="B65" s="15">
        <v>20915</v>
      </c>
      <c r="C65" s="13" t="s">
        <v>125</v>
      </c>
      <c r="D65" s="46" t="s">
        <v>60</v>
      </c>
      <c r="E65" s="13" t="s">
        <v>56</v>
      </c>
      <c r="F65" s="13">
        <v>80</v>
      </c>
      <c r="G65" s="13">
        <v>20</v>
      </c>
      <c r="H65" s="47" t="s">
        <v>172</v>
      </c>
      <c r="I65" s="47" t="s">
        <v>173</v>
      </c>
      <c r="J65" s="29">
        <v>22.2</v>
      </c>
      <c r="K65" s="29">
        <f>TBEstoque[[#This Row],[ESTOQUE ATUAL]]*TBEstoque[[#This Row],[VALOR UNIT. (R$)]]</f>
        <v>1776</v>
      </c>
      <c r="L65" s="13">
        <v>102444</v>
      </c>
      <c r="M65" s="13" t="s">
        <v>234</v>
      </c>
    </row>
    <row r="66" spans="2:15" ht="16.8">
      <c r="B66" s="15">
        <v>20916</v>
      </c>
      <c r="C66" s="13" t="s">
        <v>125</v>
      </c>
      <c r="D66" s="46" t="s">
        <v>61</v>
      </c>
      <c r="E66" s="13" t="s">
        <v>186</v>
      </c>
      <c r="F66" s="13">
        <v>150</v>
      </c>
      <c r="G66" s="13">
        <v>10</v>
      </c>
      <c r="H66" s="47" t="s">
        <v>171</v>
      </c>
      <c r="I66" s="47" t="s">
        <v>173</v>
      </c>
      <c r="J66" s="29">
        <v>12.38</v>
      </c>
      <c r="K66" s="29">
        <f>TBEstoque[[#This Row],[ESTOQUE ATUAL]]*TBEstoque[[#This Row],[VALOR UNIT. (R$)]]</f>
        <v>1857.0000000000002</v>
      </c>
      <c r="L66" s="13">
        <v>102444</v>
      </c>
      <c r="M66" s="13" t="s">
        <v>234</v>
      </c>
    </row>
    <row r="67" spans="2:15" ht="16.8">
      <c r="B67" s="15">
        <v>20917</v>
      </c>
      <c r="C67" s="13" t="s">
        <v>125</v>
      </c>
      <c r="D67" s="13" t="s">
        <v>70</v>
      </c>
      <c r="E67" s="13" t="s">
        <v>196</v>
      </c>
      <c r="F67" s="13">
        <v>10</v>
      </c>
      <c r="G67" s="13">
        <v>2</v>
      </c>
      <c r="H67" s="47" t="s">
        <v>172</v>
      </c>
      <c r="I67" s="47" t="s">
        <v>173</v>
      </c>
      <c r="J67" s="29">
        <v>0</v>
      </c>
      <c r="K67" s="29">
        <f>TBEstoque[[#This Row],[ESTOQUE ATUAL]]*TBEstoque[[#This Row],[VALOR UNIT. (R$)]]</f>
        <v>0</v>
      </c>
      <c r="L67" s="13">
        <v>14399</v>
      </c>
      <c r="M67" s="13" t="s">
        <v>234</v>
      </c>
    </row>
    <row r="68" spans="2:15" ht="16.8">
      <c r="B68" s="15">
        <v>20918</v>
      </c>
      <c r="C68" s="13" t="s">
        <v>125</v>
      </c>
      <c r="D68" s="46" t="s">
        <v>89</v>
      </c>
      <c r="E68" s="13" t="s">
        <v>183</v>
      </c>
      <c r="F68" s="13">
        <v>20</v>
      </c>
      <c r="G68" s="13">
        <v>5</v>
      </c>
      <c r="H68" s="47" t="s">
        <v>172</v>
      </c>
      <c r="I68" s="47" t="s">
        <v>173</v>
      </c>
      <c r="J68" s="29">
        <v>0</v>
      </c>
      <c r="K68" s="29">
        <f>TBEstoque[[#This Row],[ESTOQUE ATUAL]]*TBEstoque[[#This Row],[VALOR UNIT. (R$)]]</f>
        <v>0</v>
      </c>
      <c r="L68" s="13">
        <v>14399</v>
      </c>
      <c r="M68" s="13" t="s">
        <v>234</v>
      </c>
    </row>
    <row r="69" spans="2:15" ht="16.8">
      <c r="B69" s="13">
        <v>20845</v>
      </c>
      <c r="C69" s="13" t="s">
        <v>126</v>
      </c>
      <c r="D69" s="13" t="s">
        <v>92</v>
      </c>
      <c r="E69" s="13" t="s">
        <v>185</v>
      </c>
      <c r="F69" s="14">
        <v>350</v>
      </c>
      <c r="G69" s="13">
        <v>50</v>
      </c>
      <c r="H69" s="38" t="s">
        <v>172</v>
      </c>
      <c r="I69" s="38" t="s">
        <v>173</v>
      </c>
      <c r="J69" s="29">
        <v>8.0499999999999989</v>
      </c>
      <c r="K69" s="29">
        <f>TBEstoque[[#This Row],[ESTOQUE ATUAL]]*TBEstoque[[#This Row],[VALOR UNIT. (R$)]]</f>
        <v>2817.4999999999995</v>
      </c>
      <c r="L69" s="13">
        <v>14399</v>
      </c>
      <c r="M69" s="13" t="s">
        <v>234</v>
      </c>
    </row>
    <row r="70" spans="2:15" ht="16.8">
      <c r="B70" s="15">
        <v>20810</v>
      </c>
      <c r="C70" s="13" t="s">
        <v>126</v>
      </c>
      <c r="D70" s="13" t="s">
        <v>26</v>
      </c>
      <c r="E70" s="13" t="s">
        <v>185</v>
      </c>
      <c r="F70" s="14">
        <v>90</v>
      </c>
      <c r="G70" s="13">
        <v>50</v>
      </c>
      <c r="H70" s="38" t="s">
        <v>172</v>
      </c>
      <c r="I70" s="38" t="s">
        <v>173</v>
      </c>
      <c r="J70" s="29">
        <v>28.634999999999994</v>
      </c>
      <c r="K70" s="29">
        <f>TBEstoque[[#This Row],[ESTOQUE ATUAL]]*TBEstoque[[#This Row],[VALOR UNIT. (R$)]]</f>
        <v>2577.1499999999996</v>
      </c>
      <c r="L70" s="13">
        <v>37184</v>
      </c>
      <c r="M70" s="13" t="s">
        <v>234</v>
      </c>
    </row>
    <row r="71" spans="2:15" ht="16.8">
      <c r="B71" s="15">
        <v>20811</v>
      </c>
      <c r="C71" s="13" t="s">
        <v>126</v>
      </c>
      <c r="D71" s="13" t="s">
        <v>25</v>
      </c>
      <c r="E71" s="13" t="s">
        <v>185</v>
      </c>
      <c r="F71" s="14">
        <v>70</v>
      </c>
      <c r="G71" s="13">
        <v>75</v>
      </c>
      <c r="H71" s="38" t="s">
        <v>172</v>
      </c>
      <c r="I71" s="38" t="s">
        <v>174</v>
      </c>
      <c r="J71" s="29">
        <v>14.317499999999997</v>
      </c>
      <c r="K71" s="29">
        <f>TBEstoque[[#This Row],[ESTOQUE ATUAL]]*TBEstoque[[#This Row],[VALOR UNIT. (R$)]]</f>
        <v>1002.2249999999998</v>
      </c>
      <c r="L71" s="13">
        <v>37184</v>
      </c>
      <c r="M71" s="13" t="s">
        <v>234</v>
      </c>
    </row>
    <row r="72" spans="2:15" ht="16.8">
      <c r="B72" s="15">
        <v>20847</v>
      </c>
      <c r="C72" s="13" t="s">
        <v>2</v>
      </c>
      <c r="D72" s="13" t="s">
        <v>6</v>
      </c>
      <c r="E72" s="13" t="s">
        <v>184</v>
      </c>
      <c r="F72" s="14">
        <v>25</v>
      </c>
      <c r="G72" s="13">
        <v>15</v>
      </c>
      <c r="H72" s="38" t="s">
        <v>172</v>
      </c>
      <c r="I72" s="38" t="s">
        <v>173</v>
      </c>
      <c r="J72" s="29">
        <v>24.84</v>
      </c>
      <c r="K72" s="29">
        <f>TBEstoque[[#This Row],[ESTOQUE ATUAL]]*TBEstoque[[#This Row],[VALOR UNIT. (R$)]]</f>
        <v>621</v>
      </c>
      <c r="L72" s="13">
        <v>950</v>
      </c>
      <c r="M72" s="13" t="s">
        <v>234</v>
      </c>
      <c r="O72">
        <v>1.1499999999999999</v>
      </c>
    </row>
    <row r="73" spans="2:15" ht="16.8">
      <c r="B73" s="13">
        <v>926</v>
      </c>
      <c r="C73" s="13" t="s">
        <v>2</v>
      </c>
      <c r="D73" s="13" t="s">
        <v>47</v>
      </c>
      <c r="E73" s="13" t="s">
        <v>186</v>
      </c>
      <c r="F73" s="13">
        <v>30</v>
      </c>
      <c r="G73" s="13">
        <v>15</v>
      </c>
      <c r="H73" s="38" t="s">
        <v>172</v>
      </c>
      <c r="I73" s="38" t="s">
        <v>174</v>
      </c>
      <c r="J73" s="29">
        <v>27.427499999999998</v>
      </c>
      <c r="K73" s="29">
        <f>TBEstoque[[#This Row],[ESTOQUE ATUAL]]*TBEstoque[[#This Row],[VALOR UNIT. (R$)]]</f>
        <v>822.82499999999993</v>
      </c>
      <c r="L73" s="13">
        <v>884</v>
      </c>
      <c r="M73" s="13" t="s">
        <v>234</v>
      </c>
    </row>
    <row r="74" spans="2:15" ht="16.8">
      <c r="B74" s="15">
        <v>20848</v>
      </c>
      <c r="C74" s="13" t="s">
        <v>2</v>
      </c>
      <c r="D74" s="13" t="s">
        <v>7</v>
      </c>
      <c r="E74" s="13" t="s">
        <v>184</v>
      </c>
      <c r="F74" s="14">
        <v>45</v>
      </c>
      <c r="G74" s="13">
        <v>30</v>
      </c>
      <c r="H74" s="38" t="s">
        <v>170</v>
      </c>
      <c r="I74" s="38" t="s">
        <v>173</v>
      </c>
      <c r="J74" s="29">
        <v>48.93249999999999</v>
      </c>
      <c r="K74" s="29">
        <f>TBEstoque[[#This Row],[ESTOQUE ATUAL]]*TBEstoque[[#This Row],[VALOR UNIT. (R$)]]</f>
        <v>2201.9624999999996</v>
      </c>
      <c r="L74" s="13">
        <v>937</v>
      </c>
      <c r="M74" s="13" t="s">
        <v>234</v>
      </c>
    </row>
    <row r="75" spans="2:15" ht="16.8">
      <c r="B75" s="15">
        <v>20849</v>
      </c>
      <c r="C75" s="13" t="s">
        <v>2</v>
      </c>
      <c r="D75" s="13" t="s">
        <v>40</v>
      </c>
      <c r="E75" s="13" t="s">
        <v>184</v>
      </c>
      <c r="F75" s="14">
        <v>30</v>
      </c>
      <c r="G75" s="13">
        <v>10</v>
      </c>
      <c r="H75" s="38" t="s">
        <v>172</v>
      </c>
      <c r="I75" s="38" t="s">
        <v>174</v>
      </c>
      <c r="J75" s="29">
        <v>41.652999999999999</v>
      </c>
      <c r="K75" s="29">
        <f>TBEstoque[[#This Row],[ESTOQUE ATUAL]]*TBEstoque[[#This Row],[VALOR UNIT. (R$)]]</f>
        <v>1249.5899999999999</v>
      </c>
      <c r="L75" s="13">
        <v>950</v>
      </c>
      <c r="M75" s="13" t="s">
        <v>234</v>
      </c>
    </row>
    <row r="76" spans="2:15" ht="16.8">
      <c r="B76" s="15">
        <v>20850</v>
      </c>
      <c r="C76" s="13" t="s">
        <v>2</v>
      </c>
      <c r="D76" s="13" t="s">
        <v>42</v>
      </c>
      <c r="E76" s="13" t="s">
        <v>184</v>
      </c>
      <c r="F76" s="14">
        <v>25</v>
      </c>
      <c r="G76" s="13">
        <v>15</v>
      </c>
      <c r="H76" s="38" t="s">
        <v>172</v>
      </c>
      <c r="I76" s="38" t="s">
        <v>173</v>
      </c>
      <c r="J76" s="29">
        <v>35.362499999999997</v>
      </c>
      <c r="K76" s="29">
        <f>TBEstoque[[#This Row],[ESTOQUE ATUAL]]*TBEstoque[[#This Row],[VALOR UNIT. (R$)]]</f>
        <v>884.06249999999989</v>
      </c>
      <c r="L76" s="13">
        <v>950</v>
      </c>
      <c r="M76" s="13" t="s">
        <v>234</v>
      </c>
    </row>
    <row r="77" spans="2:15" ht="16.8">
      <c r="B77" s="15">
        <v>20851</v>
      </c>
      <c r="C77" s="13" t="s">
        <v>2</v>
      </c>
      <c r="D77" s="13" t="s">
        <v>13</v>
      </c>
      <c r="E77" s="13" t="s">
        <v>186</v>
      </c>
      <c r="F77" s="14">
        <v>240</v>
      </c>
      <c r="G77" s="13">
        <v>120</v>
      </c>
      <c r="H77" s="38" t="s">
        <v>170</v>
      </c>
      <c r="I77" s="38" t="s">
        <v>173</v>
      </c>
      <c r="J77" s="29">
        <v>1.9549999999999998</v>
      </c>
      <c r="K77" s="29">
        <f>TBEstoque[[#This Row],[ESTOQUE ATUAL]]*TBEstoque[[#This Row],[VALOR UNIT. (R$)]]</f>
        <v>469.2</v>
      </c>
      <c r="L77" s="13">
        <v>906</v>
      </c>
      <c r="M77" s="13" t="s">
        <v>234</v>
      </c>
    </row>
    <row r="78" spans="2:15" ht="16.8">
      <c r="B78" s="15">
        <v>20852</v>
      </c>
      <c r="C78" s="13" t="s">
        <v>2</v>
      </c>
      <c r="D78" s="13" t="s">
        <v>43</v>
      </c>
      <c r="E78" s="13" t="s">
        <v>186</v>
      </c>
      <c r="F78" s="14">
        <v>90</v>
      </c>
      <c r="G78" s="13">
        <v>50</v>
      </c>
      <c r="H78" s="38" t="s">
        <v>172</v>
      </c>
      <c r="I78" s="38" t="s">
        <v>174</v>
      </c>
      <c r="J78" s="29">
        <v>2.9899999999999998</v>
      </c>
      <c r="K78" s="29">
        <f>TBEstoque[[#This Row],[ESTOQUE ATUAL]]*TBEstoque[[#This Row],[VALOR UNIT. (R$)]]</f>
        <v>269.09999999999997</v>
      </c>
      <c r="L78" s="13">
        <v>906</v>
      </c>
      <c r="M78" s="13" t="s">
        <v>234</v>
      </c>
    </row>
    <row r="79" spans="2:15" ht="16.8">
      <c r="B79" s="15">
        <v>20853</v>
      </c>
      <c r="C79" s="13" t="s">
        <v>2</v>
      </c>
      <c r="D79" s="13" t="s">
        <v>44</v>
      </c>
      <c r="E79" s="13" t="s">
        <v>186</v>
      </c>
      <c r="F79" s="14">
        <v>32</v>
      </c>
      <c r="G79" s="13">
        <v>10</v>
      </c>
      <c r="H79" s="38" t="s">
        <v>172</v>
      </c>
      <c r="I79" s="38" t="s">
        <v>174</v>
      </c>
      <c r="J79" s="29">
        <v>32.602499999999999</v>
      </c>
      <c r="K79" s="29">
        <f>TBEstoque[[#This Row],[ESTOQUE ATUAL]]*TBEstoque[[#This Row],[VALOR UNIT. (R$)]]</f>
        <v>1043.28</v>
      </c>
      <c r="L79" s="13">
        <v>906</v>
      </c>
      <c r="M79" s="13" t="s">
        <v>234</v>
      </c>
    </row>
    <row r="80" spans="2:15" ht="16.8">
      <c r="B80" s="15">
        <v>20854</v>
      </c>
      <c r="C80" s="13" t="s">
        <v>2</v>
      </c>
      <c r="D80" s="13" t="s">
        <v>81</v>
      </c>
      <c r="E80" s="13" t="s">
        <v>67</v>
      </c>
      <c r="F80" s="14">
        <v>12</v>
      </c>
      <c r="G80" s="13">
        <v>1</v>
      </c>
      <c r="H80" s="38" t="s">
        <v>171</v>
      </c>
      <c r="I80" s="38" t="s">
        <v>174</v>
      </c>
      <c r="J80" s="29">
        <v>14.029999999999998</v>
      </c>
      <c r="K80" s="29">
        <f>TBEstoque[[#This Row],[ESTOQUE ATUAL]]*TBEstoque[[#This Row],[VALOR UNIT. (R$)]]</f>
        <v>168.35999999999996</v>
      </c>
      <c r="L80" s="13">
        <v>897</v>
      </c>
      <c r="M80" s="13" t="s">
        <v>234</v>
      </c>
    </row>
    <row r="81" spans="2:13" ht="16.8">
      <c r="B81" s="15">
        <v>20855</v>
      </c>
      <c r="C81" s="13" t="s">
        <v>2</v>
      </c>
      <c r="D81" s="13" t="s">
        <v>101</v>
      </c>
      <c r="E81" s="13" t="s">
        <v>67</v>
      </c>
      <c r="F81" s="14">
        <v>8</v>
      </c>
      <c r="G81" s="13">
        <v>0</v>
      </c>
      <c r="H81" s="38" t="s">
        <v>171</v>
      </c>
      <c r="I81" s="38" t="s">
        <v>174</v>
      </c>
      <c r="J81" s="29">
        <v>16.525499999999997</v>
      </c>
      <c r="K81" s="29">
        <f>TBEstoque[[#This Row],[ESTOQUE ATUAL]]*TBEstoque[[#This Row],[VALOR UNIT. (R$)]]</f>
        <v>132.20399999999998</v>
      </c>
      <c r="L81" s="13">
        <v>897</v>
      </c>
      <c r="M81" s="13" t="s">
        <v>234</v>
      </c>
    </row>
    <row r="82" spans="2:13" ht="16.8">
      <c r="B82" s="15">
        <v>20856</v>
      </c>
      <c r="C82" s="13" t="s">
        <v>2</v>
      </c>
      <c r="D82" s="13" t="s">
        <v>68</v>
      </c>
      <c r="E82" s="13" t="s">
        <v>67</v>
      </c>
      <c r="F82" s="14">
        <v>24</v>
      </c>
      <c r="G82" s="13">
        <v>2</v>
      </c>
      <c r="H82" s="38" t="s">
        <v>172</v>
      </c>
      <c r="I82" s="38" t="s">
        <v>173</v>
      </c>
      <c r="J82" s="29">
        <v>13.799999999999999</v>
      </c>
      <c r="K82" s="29">
        <f>TBEstoque[[#This Row],[ESTOQUE ATUAL]]*TBEstoque[[#This Row],[VALOR UNIT. (R$)]]</f>
        <v>331.2</v>
      </c>
      <c r="L82" s="13">
        <v>937</v>
      </c>
      <c r="M82" s="13" t="s">
        <v>234</v>
      </c>
    </row>
    <row r="83" spans="2:13" ht="16.8">
      <c r="B83" s="15">
        <v>20857</v>
      </c>
      <c r="C83" s="13" t="s">
        <v>2</v>
      </c>
      <c r="D83" s="13" t="s">
        <v>73</v>
      </c>
      <c r="E83" s="13" t="s">
        <v>67</v>
      </c>
      <c r="F83" s="14">
        <v>16</v>
      </c>
      <c r="G83" s="13">
        <v>5</v>
      </c>
      <c r="H83" s="38" t="s">
        <v>172</v>
      </c>
      <c r="I83" s="38" t="s">
        <v>173</v>
      </c>
      <c r="J83" s="29">
        <v>14.029999999999998</v>
      </c>
      <c r="K83" s="29">
        <f>TBEstoque[[#This Row],[ESTOQUE ATUAL]]*TBEstoque[[#This Row],[VALOR UNIT. (R$)]]</f>
        <v>224.47999999999996</v>
      </c>
      <c r="L83" s="13">
        <v>897</v>
      </c>
      <c r="M83" s="13" t="s">
        <v>234</v>
      </c>
    </row>
    <row r="84" spans="2:13" ht="16.8">
      <c r="B84" s="15">
        <v>20858</v>
      </c>
      <c r="C84" s="13" t="s">
        <v>2</v>
      </c>
      <c r="D84" s="13" t="s">
        <v>103</v>
      </c>
      <c r="E84" s="13" t="s">
        <v>67</v>
      </c>
      <c r="F84" s="14">
        <v>12</v>
      </c>
      <c r="G84" s="13">
        <v>2</v>
      </c>
      <c r="H84" s="38" t="s">
        <v>171</v>
      </c>
      <c r="I84" s="38" t="s">
        <v>174</v>
      </c>
      <c r="J84" s="29">
        <v>18.63</v>
      </c>
      <c r="K84" s="29">
        <f>TBEstoque[[#This Row],[ESTOQUE ATUAL]]*TBEstoque[[#This Row],[VALOR UNIT. (R$)]]</f>
        <v>223.56</v>
      </c>
      <c r="L84" s="13">
        <v>897</v>
      </c>
      <c r="M84" s="13" t="s">
        <v>234</v>
      </c>
    </row>
    <row r="85" spans="2:13" ht="16.8">
      <c r="B85" s="15">
        <v>20859</v>
      </c>
      <c r="C85" s="13" t="s">
        <v>2</v>
      </c>
      <c r="D85" s="13" t="s">
        <v>106</v>
      </c>
      <c r="E85" s="13" t="s">
        <v>67</v>
      </c>
      <c r="F85" s="14">
        <v>8</v>
      </c>
      <c r="G85" s="13">
        <v>0</v>
      </c>
      <c r="H85" s="38" t="s">
        <v>171</v>
      </c>
      <c r="I85" s="38" t="s">
        <v>174</v>
      </c>
      <c r="J85" s="29">
        <v>18.63</v>
      </c>
      <c r="K85" s="29">
        <f>TBEstoque[[#This Row],[ESTOQUE ATUAL]]*TBEstoque[[#This Row],[VALOR UNIT. (R$)]]</f>
        <v>149.04</v>
      </c>
      <c r="L85" s="13">
        <v>897</v>
      </c>
      <c r="M85" s="13" t="s">
        <v>234</v>
      </c>
    </row>
    <row r="86" spans="2:13" ht="16.8">
      <c r="B86" s="15">
        <v>20860</v>
      </c>
      <c r="C86" s="13" t="s">
        <v>2</v>
      </c>
      <c r="D86" s="13" t="s">
        <v>66</v>
      </c>
      <c r="E86" s="13" t="s">
        <v>67</v>
      </c>
      <c r="F86" s="14">
        <v>18</v>
      </c>
      <c r="G86" s="13">
        <v>5</v>
      </c>
      <c r="H86" s="38" t="s">
        <v>172</v>
      </c>
      <c r="I86" s="38" t="s">
        <v>174</v>
      </c>
      <c r="J86" s="29">
        <v>18.63</v>
      </c>
      <c r="K86" s="29">
        <f>TBEstoque[[#This Row],[ESTOQUE ATUAL]]*TBEstoque[[#This Row],[VALOR UNIT. (R$)]]</f>
        <v>335.34</v>
      </c>
      <c r="L86" s="13">
        <v>897</v>
      </c>
      <c r="M86" s="13" t="s">
        <v>234</v>
      </c>
    </row>
    <row r="87" spans="2:13" ht="16.8">
      <c r="B87" s="15">
        <v>20861</v>
      </c>
      <c r="C87" s="13" t="s">
        <v>2</v>
      </c>
      <c r="D87" s="13" t="s">
        <v>82</v>
      </c>
      <c r="E87" s="13" t="s">
        <v>67</v>
      </c>
      <c r="F87" s="14">
        <v>6</v>
      </c>
      <c r="G87" s="13">
        <v>5</v>
      </c>
      <c r="H87" s="38" t="s">
        <v>172</v>
      </c>
      <c r="I87" s="38" t="s">
        <v>174</v>
      </c>
      <c r="J87" s="29">
        <v>18.63</v>
      </c>
      <c r="K87" s="29">
        <f>TBEstoque[[#This Row],[ESTOQUE ATUAL]]*TBEstoque[[#This Row],[VALOR UNIT. (R$)]]</f>
        <v>111.78</v>
      </c>
      <c r="L87" s="13">
        <v>897</v>
      </c>
      <c r="M87" s="13" t="s">
        <v>234</v>
      </c>
    </row>
    <row r="88" spans="2:13" ht="16.8">
      <c r="B88" s="15">
        <v>20862</v>
      </c>
      <c r="C88" s="13" t="s">
        <v>2</v>
      </c>
      <c r="D88" s="13" t="s">
        <v>48</v>
      </c>
      <c r="E88" s="13" t="s">
        <v>186</v>
      </c>
      <c r="F88" s="14">
        <v>120</v>
      </c>
      <c r="G88" s="13">
        <v>75</v>
      </c>
      <c r="H88" s="38" t="s">
        <v>170</v>
      </c>
      <c r="I88" s="38" t="s">
        <v>173</v>
      </c>
      <c r="J88" s="29">
        <v>6.0259999999999998</v>
      </c>
      <c r="K88" s="29">
        <f>TBEstoque[[#This Row],[ESTOQUE ATUAL]]*TBEstoque[[#This Row],[VALOR UNIT. (R$)]]</f>
        <v>723.12</v>
      </c>
      <c r="L88" s="13">
        <v>908</v>
      </c>
      <c r="M88" s="13" t="s">
        <v>234</v>
      </c>
    </row>
    <row r="89" spans="2:13" ht="16.8">
      <c r="B89" s="15">
        <v>20863</v>
      </c>
      <c r="C89" s="13" t="s">
        <v>2</v>
      </c>
      <c r="D89" s="13" t="s">
        <v>72</v>
      </c>
      <c r="E89" s="13" t="s">
        <v>186</v>
      </c>
      <c r="F89" s="14">
        <v>90</v>
      </c>
      <c r="G89" s="13">
        <v>50</v>
      </c>
      <c r="H89" s="38" t="s">
        <v>172</v>
      </c>
      <c r="I89" s="38" t="s">
        <v>174</v>
      </c>
      <c r="J89" s="29">
        <v>4.5194999999999999</v>
      </c>
      <c r="K89" s="29">
        <f>TBEstoque[[#This Row],[ESTOQUE ATUAL]]*TBEstoque[[#This Row],[VALOR UNIT. (R$)]]</f>
        <v>406.755</v>
      </c>
      <c r="L89" s="13">
        <v>908</v>
      </c>
      <c r="M89" s="13" t="s">
        <v>234</v>
      </c>
    </row>
    <row r="90" spans="2:13" ht="16.8">
      <c r="B90" s="15">
        <v>20864</v>
      </c>
      <c r="C90" s="13" t="s">
        <v>2</v>
      </c>
      <c r="D90" s="13" t="s">
        <v>86</v>
      </c>
      <c r="E90" s="13" t="s">
        <v>186</v>
      </c>
      <c r="F90" s="14">
        <v>15</v>
      </c>
      <c r="G90" s="13">
        <v>5</v>
      </c>
      <c r="H90" s="38" t="s">
        <v>172</v>
      </c>
      <c r="I90" s="38" t="s">
        <v>173</v>
      </c>
      <c r="J90" s="29">
        <v>4.0249999999999995</v>
      </c>
      <c r="K90" s="29">
        <f>TBEstoque[[#This Row],[ESTOQUE ATUAL]]*TBEstoque[[#This Row],[VALOR UNIT. (R$)]]</f>
        <v>60.374999999999993</v>
      </c>
      <c r="L90" s="13">
        <v>929</v>
      </c>
      <c r="M90" s="13" t="s">
        <v>234</v>
      </c>
    </row>
    <row r="91" spans="2:13" ht="16.8">
      <c r="B91" s="15">
        <v>20865</v>
      </c>
      <c r="C91" s="13" t="s">
        <v>2</v>
      </c>
      <c r="D91" s="13" t="s">
        <v>113</v>
      </c>
      <c r="E91" s="13" t="s">
        <v>185</v>
      </c>
      <c r="F91" s="14">
        <v>12</v>
      </c>
      <c r="G91" s="13">
        <v>2</v>
      </c>
      <c r="H91" s="38" t="s">
        <v>171</v>
      </c>
      <c r="I91" s="38" t="s">
        <v>174</v>
      </c>
      <c r="J91" s="29">
        <v>10.165999999999999</v>
      </c>
      <c r="K91" s="29">
        <f>TBEstoque[[#This Row],[ESTOQUE ATUAL]]*TBEstoque[[#This Row],[VALOR UNIT. (R$)]]</f>
        <v>121.99199999999999</v>
      </c>
      <c r="L91" s="13">
        <v>950</v>
      </c>
      <c r="M91" s="13" t="s">
        <v>234</v>
      </c>
    </row>
    <row r="92" spans="2:13" ht="16.8">
      <c r="B92" s="15">
        <v>20812</v>
      </c>
      <c r="C92" s="13" t="s">
        <v>2</v>
      </c>
      <c r="D92" s="13" t="s">
        <v>17</v>
      </c>
      <c r="E92" s="13" t="s">
        <v>183</v>
      </c>
      <c r="F92" s="14">
        <v>100</v>
      </c>
      <c r="G92" s="13">
        <v>80</v>
      </c>
      <c r="H92" s="38" t="s">
        <v>170</v>
      </c>
      <c r="I92" s="38" t="s">
        <v>173</v>
      </c>
      <c r="J92" s="29">
        <v>150.29349999999999</v>
      </c>
      <c r="K92" s="29">
        <f>TBEstoque[[#This Row],[ESTOQUE ATUAL]]*TBEstoque[[#This Row],[VALOR UNIT. (R$)]]</f>
        <v>15029.349999999999</v>
      </c>
      <c r="L92" s="13">
        <v>937</v>
      </c>
      <c r="M92" s="13" t="s">
        <v>234</v>
      </c>
    </row>
    <row r="93" spans="2:13" ht="16.8">
      <c r="B93" s="15">
        <v>20866</v>
      </c>
      <c r="C93" s="13" t="s">
        <v>2</v>
      </c>
      <c r="D93" s="13" t="s">
        <v>18</v>
      </c>
      <c r="E93" s="13" t="s">
        <v>183</v>
      </c>
      <c r="F93" s="14">
        <v>100</v>
      </c>
      <c r="G93" s="13">
        <v>30</v>
      </c>
      <c r="H93" s="38" t="s">
        <v>172</v>
      </c>
      <c r="I93" s="38" t="s">
        <v>174</v>
      </c>
      <c r="J93" s="29">
        <v>58.327999999999996</v>
      </c>
      <c r="K93" s="29">
        <f>TBEstoque[[#This Row],[ESTOQUE ATUAL]]*TBEstoque[[#This Row],[VALOR UNIT. (R$)]]</f>
        <v>5832.7999999999993</v>
      </c>
      <c r="L93" s="13">
        <v>897</v>
      </c>
      <c r="M93" s="13" t="s">
        <v>234</v>
      </c>
    </row>
    <row r="94" spans="2:13" ht="16.8">
      <c r="B94" s="15">
        <v>20813</v>
      </c>
      <c r="C94" s="13" t="s">
        <v>2</v>
      </c>
      <c r="D94" s="13" t="s">
        <v>3</v>
      </c>
      <c r="E94" s="13" t="s">
        <v>183</v>
      </c>
      <c r="F94" s="14">
        <v>100</v>
      </c>
      <c r="G94" s="13">
        <v>60</v>
      </c>
      <c r="H94" s="38" t="s">
        <v>170</v>
      </c>
      <c r="I94" s="38" t="s">
        <v>173</v>
      </c>
      <c r="J94" s="29">
        <v>136.5395</v>
      </c>
      <c r="K94" s="29">
        <f>TBEstoque[[#This Row],[ESTOQUE ATUAL]]*TBEstoque[[#This Row],[VALOR UNIT. (R$)]]</f>
        <v>13653.95</v>
      </c>
      <c r="L94" s="13">
        <v>937</v>
      </c>
      <c r="M94" s="13" t="s">
        <v>234</v>
      </c>
    </row>
    <row r="95" spans="2:13" ht="16.8">
      <c r="B95" s="15">
        <v>20867</v>
      </c>
      <c r="C95" s="13" t="s">
        <v>2</v>
      </c>
      <c r="D95" s="13" t="s">
        <v>19</v>
      </c>
      <c r="E95" s="13" t="s">
        <v>186</v>
      </c>
      <c r="F95" s="14">
        <v>100</v>
      </c>
      <c r="G95" s="13">
        <v>40</v>
      </c>
      <c r="H95" s="38" t="s">
        <v>172</v>
      </c>
      <c r="I95" s="38" t="s">
        <v>174</v>
      </c>
      <c r="J95" s="29">
        <v>1.9089999999999998</v>
      </c>
      <c r="K95" s="29">
        <f>TBEstoque[[#This Row],[ESTOQUE ATUAL]]*TBEstoque[[#This Row],[VALOR UNIT. (R$)]]</f>
        <v>190.89999999999998</v>
      </c>
      <c r="L95" s="13">
        <v>967</v>
      </c>
      <c r="M95" s="13" t="s">
        <v>234</v>
      </c>
    </row>
    <row r="96" spans="2:13" ht="16.8">
      <c r="B96" s="15">
        <v>20868</v>
      </c>
      <c r="C96" s="13" t="s">
        <v>2</v>
      </c>
      <c r="D96" s="13" t="s">
        <v>39</v>
      </c>
      <c r="E96" s="13" t="s">
        <v>186</v>
      </c>
      <c r="F96" s="14">
        <v>50</v>
      </c>
      <c r="G96" s="13">
        <v>10</v>
      </c>
      <c r="H96" s="38" t="s">
        <v>171</v>
      </c>
      <c r="I96" s="38" t="s">
        <v>174</v>
      </c>
      <c r="J96" s="29">
        <v>7.1185</v>
      </c>
      <c r="K96" s="29">
        <f>TBEstoque[[#This Row],[ESTOQUE ATUAL]]*TBEstoque[[#This Row],[VALOR UNIT. (R$)]]</f>
        <v>355.92500000000001</v>
      </c>
      <c r="L96" s="13">
        <v>684</v>
      </c>
      <c r="M96" s="13" t="s">
        <v>234</v>
      </c>
    </row>
    <row r="97" spans="2:13" ht="16.8">
      <c r="B97" s="15">
        <v>20869</v>
      </c>
      <c r="C97" s="13" t="s">
        <v>2</v>
      </c>
      <c r="D97" s="13" t="s">
        <v>38</v>
      </c>
      <c r="E97" s="13" t="s">
        <v>183</v>
      </c>
      <c r="F97" s="14">
        <v>50</v>
      </c>
      <c r="G97" s="13">
        <v>25</v>
      </c>
      <c r="H97" s="38" t="s">
        <v>170</v>
      </c>
      <c r="I97" s="38" t="s">
        <v>173</v>
      </c>
      <c r="J97" s="29">
        <v>15.352499999999999</v>
      </c>
      <c r="K97" s="29">
        <f>TBEstoque[[#This Row],[ESTOQUE ATUAL]]*TBEstoque[[#This Row],[VALOR UNIT. (R$)]]</f>
        <v>767.625</v>
      </c>
      <c r="L97" s="13">
        <v>946</v>
      </c>
      <c r="M97" s="13" t="s">
        <v>234</v>
      </c>
    </row>
    <row r="98" spans="2:13" ht="16.8">
      <c r="B98" s="15">
        <v>20871</v>
      </c>
      <c r="C98" s="13" t="s">
        <v>2</v>
      </c>
      <c r="D98" s="13" t="s">
        <v>124</v>
      </c>
      <c r="E98" s="13" t="s">
        <v>184</v>
      </c>
      <c r="F98" s="14">
        <v>20</v>
      </c>
      <c r="G98" s="13">
        <v>5</v>
      </c>
      <c r="H98" s="38" t="s">
        <v>172</v>
      </c>
      <c r="I98" s="38" t="s">
        <v>173</v>
      </c>
      <c r="J98" s="29">
        <v>38.64</v>
      </c>
      <c r="K98" s="29">
        <f>TBEstoque[[#This Row],[ESTOQUE ATUAL]]*TBEstoque[[#This Row],[VALOR UNIT. (R$)]]</f>
        <v>772.8</v>
      </c>
      <c r="L98" s="13">
        <v>937</v>
      </c>
      <c r="M98" s="13" t="s">
        <v>234</v>
      </c>
    </row>
    <row r="99" spans="2:13" ht="16.8">
      <c r="B99" s="15">
        <v>20872</v>
      </c>
      <c r="C99" s="13" t="s">
        <v>2</v>
      </c>
      <c r="D99" s="13" t="s">
        <v>12</v>
      </c>
      <c r="E99" s="13" t="s">
        <v>185</v>
      </c>
      <c r="F99" s="14">
        <v>30</v>
      </c>
      <c r="G99" s="13">
        <v>10</v>
      </c>
      <c r="H99" s="38" t="s">
        <v>170</v>
      </c>
      <c r="I99" s="38" t="s">
        <v>173</v>
      </c>
      <c r="J99" s="29">
        <v>97.749999999999986</v>
      </c>
      <c r="K99" s="29">
        <f>TBEstoque[[#This Row],[ESTOQUE ATUAL]]*TBEstoque[[#This Row],[VALOR UNIT. (R$)]]</f>
        <v>2932.4999999999995</v>
      </c>
      <c r="L99" s="13">
        <v>875</v>
      </c>
      <c r="M99" s="13" t="s">
        <v>234</v>
      </c>
    </row>
    <row r="100" spans="2:13" ht="16.8">
      <c r="B100" s="15">
        <v>20873</v>
      </c>
      <c r="C100" s="13" t="s">
        <v>2</v>
      </c>
      <c r="D100" s="13" t="s">
        <v>118</v>
      </c>
      <c r="E100" s="13" t="s">
        <v>185</v>
      </c>
      <c r="F100" s="14">
        <v>20</v>
      </c>
      <c r="G100" s="13">
        <v>5</v>
      </c>
      <c r="H100" s="38" t="s">
        <v>171</v>
      </c>
      <c r="I100" s="38" t="s">
        <v>174</v>
      </c>
      <c r="J100" s="29">
        <v>25.299999999999997</v>
      </c>
      <c r="K100" s="29">
        <f>TBEstoque[[#This Row],[ESTOQUE ATUAL]]*TBEstoque[[#This Row],[VALOR UNIT. (R$)]]</f>
        <v>505.99999999999994</v>
      </c>
      <c r="L100" s="13">
        <v>937</v>
      </c>
      <c r="M100" s="13" t="s">
        <v>234</v>
      </c>
    </row>
    <row r="101" spans="2:13" ht="16.8">
      <c r="B101" s="15">
        <v>20874</v>
      </c>
      <c r="C101" s="13" t="s">
        <v>2</v>
      </c>
      <c r="D101" s="13" t="s">
        <v>119</v>
      </c>
      <c r="E101" s="13" t="s">
        <v>185</v>
      </c>
      <c r="F101" s="14">
        <v>10</v>
      </c>
      <c r="G101" s="13">
        <v>2</v>
      </c>
      <c r="H101" s="38" t="s">
        <v>171</v>
      </c>
      <c r="I101" s="38" t="s">
        <v>174</v>
      </c>
      <c r="J101" s="29">
        <v>24.15</v>
      </c>
      <c r="K101" s="29">
        <f>TBEstoque[[#This Row],[ESTOQUE ATUAL]]*TBEstoque[[#This Row],[VALOR UNIT. (R$)]]</f>
        <v>241.5</v>
      </c>
      <c r="L101" s="13">
        <v>937</v>
      </c>
      <c r="M101" s="13" t="s">
        <v>234</v>
      </c>
    </row>
    <row r="102" spans="2:13" ht="16.8">
      <c r="B102" s="15">
        <v>20875</v>
      </c>
      <c r="C102" s="13" t="s">
        <v>2</v>
      </c>
      <c r="D102" s="13" t="s">
        <v>20</v>
      </c>
      <c r="E102" s="13" t="s">
        <v>185</v>
      </c>
      <c r="F102" s="14">
        <v>15</v>
      </c>
      <c r="G102" s="13">
        <v>4</v>
      </c>
      <c r="H102" s="38" t="s">
        <v>172</v>
      </c>
      <c r="I102" s="38" t="s">
        <v>173</v>
      </c>
      <c r="J102" s="29">
        <v>68.160499999999999</v>
      </c>
      <c r="K102" s="29">
        <f>TBEstoque[[#This Row],[ESTOQUE ATUAL]]*TBEstoque[[#This Row],[VALOR UNIT. (R$)]]</f>
        <v>1022.4075</v>
      </c>
      <c r="L102" s="13">
        <v>937</v>
      </c>
      <c r="M102" s="13" t="s">
        <v>234</v>
      </c>
    </row>
    <row r="103" spans="2:13" ht="16.8">
      <c r="B103" s="15">
        <v>20876</v>
      </c>
      <c r="C103" s="13" t="s">
        <v>2</v>
      </c>
      <c r="D103" s="13" t="s">
        <v>46</v>
      </c>
      <c r="E103" s="13" t="s">
        <v>185</v>
      </c>
      <c r="F103" s="14">
        <v>40</v>
      </c>
      <c r="G103" s="13">
        <v>30</v>
      </c>
      <c r="H103" s="38" t="s">
        <v>170</v>
      </c>
      <c r="I103" s="38" t="s">
        <v>173</v>
      </c>
      <c r="J103" s="29">
        <v>67.274999999999991</v>
      </c>
      <c r="K103" s="29">
        <f>TBEstoque[[#This Row],[ESTOQUE ATUAL]]*TBEstoque[[#This Row],[VALOR UNIT. (R$)]]</f>
        <v>2690.9999999999995</v>
      </c>
      <c r="L103" s="13">
        <v>937</v>
      </c>
      <c r="M103" s="13" t="s">
        <v>234</v>
      </c>
    </row>
    <row r="104" spans="2:13" ht="16.8">
      <c r="B104" s="15">
        <v>20877</v>
      </c>
      <c r="C104" s="13" t="s">
        <v>2</v>
      </c>
      <c r="D104" s="13" t="s">
        <v>52</v>
      </c>
      <c r="E104" s="13" t="s">
        <v>185</v>
      </c>
      <c r="F104" s="14">
        <v>20</v>
      </c>
      <c r="G104" s="13">
        <v>10</v>
      </c>
      <c r="H104" s="38" t="s">
        <v>172</v>
      </c>
      <c r="I104" s="38" t="s">
        <v>174</v>
      </c>
      <c r="J104" s="29">
        <v>24.15</v>
      </c>
      <c r="K104" s="29">
        <f>TBEstoque[[#This Row],[ESTOQUE ATUAL]]*TBEstoque[[#This Row],[VALOR UNIT. (R$)]]</f>
        <v>483</v>
      </c>
      <c r="L104" s="13">
        <v>937</v>
      </c>
      <c r="M104" s="13" t="s">
        <v>234</v>
      </c>
    </row>
    <row r="105" spans="2:13" ht="16.8">
      <c r="B105" s="15">
        <v>20878</v>
      </c>
      <c r="C105" s="20" t="s">
        <v>2</v>
      </c>
      <c r="D105" s="20" t="s">
        <v>65</v>
      </c>
      <c r="E105" s="13" t="s">
        <v>185</v>
      </c>
      <c r="F105" s="14">
        <v>25</v>
      </c>
      <c r="G105" s="13">
        <v>5</v>
      </c>
      <c r="H105" s="48" t="s">
        <v>171</v>
      </c>
      <c r="I105" s="48" t="s">
        <v>174</v>
      </c>
      <c r="J105" s="29">
        <v>34.5</v>
      </c>
      <c r="K105" s="29">
        <f>TBEstoque[[#This Row],[ESTOQUE ATUAL]]*TBEstoque[[#This Row],[VALOR UNIT. (R$)]]</f>
        <v>862.5</v>
      </c>
      <c r="L105" s="13">
        <v>897</v>
      </c>
      <c r="M105" s="13" t="s">
        <v>234</v>
      </c>
    </row>
    <row r="106" spans="2:13" ht="16.8">
      <c r="B106" s="15">
        <v>20879</v>
      </c>
      <c r="C106" s="20" t="s">
        <v>2</v>
      </c>
      <c r="D106" s="20" t="s">
        <v>51</v>
      </c>
      <c r="E106" s="13" t="s">
        <v>185</v>
      </c>
      <c r="F106" s="14">
        <v>30</v>
      </c>
      <c r="G106" s="13">
        <v>15</v>
      </c>
      <c r="H106" s="48" t="s">
        <v>172</v>
      </c>
      <c r="I106" s="48" t="s">
        <v>173</v>
      </c>
      <c r="J106" s="29">
        <v>34.5</v>
      </c>
      <c r="K106" s="29">
        <f>TBEstoque[[#This Row],[ESTOQUE ATUAL]]*TBEstoque[[#This Row],[VALOR UNIT. (R$)]]</f>
        <v>1035</v>
      </c>
      <c r="L106" s="13">
        <v>937</v>
      </c>
      <c r="M106" s="13" t="s">
        <v>234</v>
      </c>
    </row>
    <row r="107" spans="2:13" ht="16.8">
      <c r="B107" s="15">
        <v>20881</v>
      </c>
      <c r="C107" s="20" t="s">
        <v>2</v>
      </c>
      <c r="D107" s="20" t="s">
        <v>50</v>
      </c>
      <c r="E107" s="13" t="s">
        <v>186</v>
      </c>
      <c r="F107" s="14">
        <v>20</v>
      </c>
      <c r="G107" s="13">
        <v>5</v>
      </c>
      <c r="H107" s="48" t="s">
        <v>171</v>
      </c>
      <c r="I107" s="48" t="s">
        <v>174</v>
      </c>
      <c r="J107" s="29">
        <v>14.984499999999999</v>
      </c>
      <c r="K107" s="29">
        <f>TBEstoque[[#This Row],[ESTOQUE ATUAL]]*TBEstoque[[#This Row],[VALOR UNIT. (R$)]]</f>
        <v>299.69</v>
      </c>
      <c r="L107" s="13">
        <v>961</v>
      </c>
      <c r="M107" s="13" t="s">
        <v>234</v>
      </c>
    </row>
    <row r="108" spans="2:13" ht="16.8">
      <c r="B108" s="15">
        <v>20880</v>
      </c>
      <c r="C108" s="20" t="s">
        <v>2</v>
      </c>
      <c r="D108" s="20" t="s">
        <v>21</v>
      </c>
      <c r="E108" s="13" t="s">
        <v>186</v>
      </c>
      <c r="F108" s="14">
        <v>50</v>
      </c>
      <c r="G108" s="13">
        <v>30</v>
      </c>
      <c r="H108" s="48" t="s">
        <v>170</v>
      </c>
      <c r="I108" s="48" t="s">
        <v>173</v>
      </c>
      <c r="J108" s="29">
        <v>9.1425000000000001</v>
      </c>
      <c r="K108" s="29">
        <f>TBEstoque[[#This Row],[ESTOQUE ATUAL]]*TBEstoque[[#This Row],[VALOR UNIT. (R$)]]</f>
        <v>457.125</v>
      </c>
      <c r="L108" s="13">
        <v>961</v>
      </c>
      <c r="M108" s="13" t="s">
        <v>234</v>
      </c>
    </row>
  </sheetData>
  <phoneticPr fontId="5" type="noConversion"/>
  <conditionalFormatting sqref="H5:H108">
    <cfRule type="containsText" dxfId="366" priority="4" operator="containsText" text="C">
      <formula>NOT(ISERROR(SEARCH("C",H5)))</formula>
    </cfRule>
    <cfRule type="containsText" dxfId="365" priority="5" operator="containsText" text="B">
      <formula>NOT(ISERROR(SEARCH("B",H5)))</formula>
    </cfRule>
    <cfRule type="containsText" dxfId="364" priority="6" operator="containsText" text="A">
      <formula>NOT(ISERROR(SEARCH("A",H5)))</formula>
    </cfRule>
  </conditionalFormatting>
  <conditionalFormatting sqref="I5:I108">
    <cfRule type="containsText" dxfId="363" priority="1" operator="containsText" text="SIM">
      <formula>NOT(ISERROR(SEARCH("SIM",I5)))</formula>
    </cfRule>
    <cfRule type="containsText" dxfId="362" priority="2" operator="containsText" text="NÃO">
      <formula>NOT(ISERROR(SEARCH("NÃO",I5)))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M5 M6:M108" calculatedColumn="1"/>
  </ignoredErrors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79A2-68D3-4FFB-9349-3CFFD239BEB4}">
  <sheetPr>
    <tabColor theme="1" tint="4.9989318521683403E-2"/>
  </sheetPr>
  <dimension ref="B2:M480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419" sqref="H419"/>
    </sheetView>
  </sheetViews>
  <sheetFormatPr defaultRowHeight="13.8"/>
  <cols>
    <col min="1" max="1" width="5.8984375" customWidth="1"/>
    <col min="2" max="2" width="29.796875" bestFit="1" customWidth="1"/>
    <col min="3" max="3" width="7.19921875" bestFit="1" customWidth="1"/>
    <col min="4" max="4" width="17.3984375" bestFit="1" customWidth="1"/>
    <col min="5" max="5" width="52.796875" bestFit="1" customWidth="1"/>
    <col min="6" max="6" width="20.5" bestFit="1" customWidth="1"/>
    <col min="7" max="7" width="17.19921875" bestFit="1" customWidth="1"/>
    <col min="8" max="8" width="28.19921875" bestFit="1" customWidth="1"/>
    <col min="9" max="9" width="24.69921875" style="9" bestFit="1" customWidth="1"/>
    <col min="10" max="10" width="20.69921875" bestFit="1" customWidth="1"/>
    <col min="11" max="11" width="24.19921875" bestFit="1" customWidth="1"/>
    <col min="12" max="12" width="20.09765625" style="8" bestFit="1" customWidth="1"/>
    <col min="13" max="13" width="21" bestFit="1" customWidth="1"/>
  </cols>
  <sheetData>
    <row r="2" spans="2:13" ht="37.200000000000003" customHeight="1"/>
    <row r="4" spans="2:13" ht="16.8">
      <c r="B4" s="11" t="s">
        <v>133</v>
      </c>
      <c r="C4" s="11" t="s">
        <v>0</v>
      </c>
      <c r="D4" s="12" t="s">
        <v>127</v>
      </c>
      <c r="E4" s="11" t="s">
        <v>128</v>
      </c>
      <c r="F4" s="11" t="s">
        <v>182</v>
      </c>
      <c r="G4" s="11" t="s">
        <v>129</v>
      </c>
      <c r="H4" s="11" t="s">
        <v>177</v>
      </c>
      <c r="I4" s="12" t="s">
        <v>134</v>
      </c>
      <c r="J4" s="11" t="s">
        <v>135</v>
      </c>
      <c r="K4" s="11" t="s">
        <v>178</v>
      </c>
      <c r="L4" s="11" t="s">
        <v>136</v>
      </c>
      <c r="M4" s="11" t="s">
        <v>131</v>
      </c>
    </row>
    <row r="5" spans="2:13" ht="16.8" hidden="1">
      <c r="B5" s="16" t="str">
        <f>"PED-" &amp; Consumo_Mensal!$H5 &amp; "-" &amp; TEXT(Consumo_Mensal!$J5, "ddmmaa")</f>
        <v>PED-CD Logística - Regional ABC-090226</v>
      </c>
      <c r="C5" s="17">
        <v>20817</v>
      </c>
      <c r="D5" s="16" t="s">
        <v>8</v>
      </c>
      <c r="E5" s="16" t="s">
        <v>9</v>
      </c>
      <c r="F5" s="16">
        <v>3</v>
      </c>
      <c r="G5" s="16" t="s">
        <v>191</v>
      </c>
      <c r="H5" s="16" t="s">
        <v>255</v>
      </c>
      <c r="I5" s="16" t="s">
        <v>265</v>
      </c>
      <c r="J5" s="18">
        <v>46062</v>
      </c>
      <c r="K5" s="18">
        <v>46063</v>
      </c>
      <c r="L5" s="19" t="str">
        <f>CONCATENATE(NETWORKDAYS(Consumo_Mensal!$J5, Consumo_Mensal!$K5)-1, " dia")</f>
        <v>1 dia</v>
      </c>
      <c r="M5" s="23">
        <f>IFERROR(Consumo_Mensal!$F5*VLOOKUP(Consumo_Mensal!$E5,TBEstoque[[DESCRIÇÃO]:[VALOR UNIT. (R$)]],7,0), 0)</f>
        <v>189.74999999999997</v>
      </c>
    </row>
    <row r="6" spans="2:13" ht="16.8" hidden="1">
      <c r="B6" s="16" t="str">
        <f>"PED-" &amp; Consumo_Mensal!$H6 &amp; "-" &amp; TEXT(Consumo_Mensal!$J6, "ddmmaa")</f>
        <v>PED-CD Logística - Regional ABC-090226</v>
      </c>
      <c r="C6" s="17">
        <v>20815</v>
      </c>
      <c r="D6" s="16" t="s">
        <v>8</v>
      </c>
      <c r="E6" s="16" t="s">
        <v>10</v>
      </c>
      <c r="F6" s="16">
        <v>1</v>
      </c>
      <c r="G6" s="16" t="s">
        <v>191</v>
      </c>
      <c r="H6" s="16" t="s">
        <v>255</v>
      </c>
      <c r="I6" s="16" t="s">
        <v>265</v>
      </c>
      <c r="J6" s="18">
        <v>46062</v>
      </c>
      <c r="K6" s="18">
        <v>46063</v>
      </c>
      <c r="L6" s="19" t="str">
        <f>CONCATENATE(NETWORKDAYS(Consumo_Mensal!$J6, Consumo_Mensal!$K6)-1, " dia")</f>
        <v>1 dia</v>
      </c>
      <c r="M6" s="23">
        <f>IFERROR(Consumo_Mensal!$F6*VLOOKUP(Consumo_Mensal!$E6,TBEstoque[[DESCRIÇÃO]:[VALOR UNIT. (R$)]],7,0), 0)</f>
        <v>97.749999999999986</v>
      </c>
    </row>
    <row r="7" spans="2:13" ht="16.8" hidden="1">
      <c r="B7" s="16" t="str">
        <f>"PED-" &amp; Consumo_Mensal!$H7 &amp; "-" &amp; TEXT(Consumo_Mensal!$J7, "ddmmaa")</f>
        <v>PED-CD Logística - Regional ABC-090226</v>
      </c>
      <c r="C7" s="17">
        <v>20821</v>
      </c>
      <c r="D7" s="16" t="s">
        <v>8</v>
      </c>
      <c r="E7" s="16" t="s">
        <v>11</v>
      </c>
      <c r="F7" s="16">
        <v>1</v>
      </c>
      <c r="G7" s="16" t="s">
        <v>191</v>
      </c>
      <c r="H7" s="16" t="s">
        <v>255</v>
      </c>
      <c r="I7" s="16" t="s">
        <v>265</v>
      </c>
      <c r="J7" s="18">
        <v>46062</v>
      </c>
      <c r="K7" s="18">
        <v>46063</v>
      </c>
      <c r="L7" s="19" t="str">
        <f>CONCATENATE(NETWORKDAYS(Consumo_Mensal!$J7, Consumo_Mensal!$K7)-1, " dia")</f>
        <v>1 dia</v>
      </c>
      <c r="M7" s="23">
        <f>IFERROR(Consumo_Mensal!$F7*VLOOKUP(Consumo_Mensal!$E7,TBEstoque[[DESCRIÇÃO]:[VALOR UNIT. (R$)]],7,0), 0)</f>
        <v>27.599999999999998</v>
      </c>
    </row>
    <row r="8" spans="2:13" ht="16.8" hidden="1">
      <c r="B8" s="16" t="str">
        <f>"PED-" &amp; Consumo_Mensal!$H8 &amp; "-" &amp; TEXT(Consumo_Mensal!$J8, "ddmmaa")</f>
        <v>PED-Farmácia Principal - Unidade 01-090226</v>
      </c>
      <c r="C8" s="20">
        <v>20814</v>
      </c>
      <c r="D8" s="16" t="s">
        <v>8</v>
      </c>
      <c r="E8" s="20" t="s">
        <v>15</v>
      </c>
      <c r="F8" s="16">
        <v>1</v>
      </c>
      <c r="G8" s="16" t="s">
        <v>191</v>
      </c>
      <c r="H8" s="16" t="s">
        <v>263</v>
      </c>
      <c r="I8" s="16" t="s">
        <v>266</v>
      </c>
      <c r="J8" s="18">
        <v>46062</v>
      </c>
      <c r="K8" s="18">
        <v>46063</v>
      </c>
      <c r="L8" s="19" t="str">
        <f>CONCATENATE(NETWORKDAYS(Consumo_Mensal!$J8, Consumo_Mensal!$K8)-1, " dia")</f>
        <v>1 dia</v>
      </c>
      <c r="M8" s="23">
        <f>IFERROR(Consumo_Mensal!$F8*VLOOKUP(Consumo_Mensal!$E8,TBEstoque[[DESCRIÇÃO]:[VALOR UNIT. (R$)]],7,0), 0)</f>
        <v>6.8194999999999988</v>
      </c>
    </row>
    <row r="9" spans="2:13" ht="16.8" hidden="1">
      <c r="B9" s="16" t="str">
        <f>"PED-" &amp; Consumo_Mensal!$H9 &amp; "-" &amp; TEXT(Consumo_Mensal!$J9, "ddmmaa")</f>
        <v>PED-Farmácia Principal - Unidade 01-090226</v>
      </c>
      <c r="C9" s="17">
        <v>20815</v>
      </c>
      <c r="D9" s="16" t="s">
        <v>8</v>
      </c>
      <c r="E9" s="16" t="s">
        <v>10</v>
      </c>
      <c r="F9" s="16">
        <v>3</v>
      </c>
      <c r="G9" s="16" t="s">
        <v>191</v>
      </c>
      <c r="H9" s="16" t="s">
        <v>263</v>
      </c>
      <c r="I9" s="16" t="s">
        <v>266</v>
      </c>
      <c r="J9" s="18">
        <v>46062</v>
      </c>
      <c r="K9" s="18">
        <v>46063</v>
      </c>
      <c r="L9" s="19" t="str">
        <f>CONCATENATE(NETWORKDAYS(Consumo_Mensal!$J9, Consumo_Mensal!$K9)-1, " dia")</f>
        <v>1 dia</v>
      </c>
      <c r="M9" s="23">
        <f>IFERROR(Consumo_Mensal!$F9*VLOOKUP(Consumo_Mensal!$E9,TBEstoque[[DESCRIÇÃO]:[VALOR UNIT. (R$)]],7,0), 0)</f>
        <v>293.24999999999994</v>
      </c>
    </row>
    <row r="10" spans="2:13" ht="16.8" hidden="1">
      <c r="B10" s="16" t="str">
        <f>"PED-" &amp; Consumo_Mensal!$H10 &amp; "-" &amp; TEXT(Consumo_Mensal!$J10, "ddmmaa")</f>
        <v>PED-Farmácia Principal - Unidade 01-090226</v>
      </c>
      <c r="C10" s="17">
        <v>20817</v>
      </c>
      <c r="D10" s="16" t="s">
        <v>8</v>
      </c>
      <c r="E10" s="16" t="s">
        <v>9</v>
      </c>
      <c r="F10" s="16">
        <v>3</v>
      </c>
      <c r="G10" s="16" t="s">
        <v>191</v>
      </c>
      <c r="H10" s="16" t="s">
        <v>263</v>
      </c>
      <c r="I10" s="16" t="s">
        <v>266</v>
      </c>
      <c r="J10" s="18">
        <v>46062</v>
      </c>
      <c r="K10" s="18">
        <v>46063</v>
      </c>
      <c r="L10" s="19" t="str">
        <f>CONCATENATE(NETWORKDAYS(Consumo_Mensal!$J10, Consumo_Mensal!$K10)-1, " dia")</f>
        <v>1 dia</v>
      </c>
      <c r="M10" s="23">
        <f>IFERROR(Consumo_Mensal!$F10*VLOOKUP(Consumo_Mensal!$E10,TBEstoque[[DESCRIÇÃO]:[VALOR UNIT. (R$)]],7,0), 0)</f>
        <v>189.74999999999997</v>
      </c>
    </row>
    <row r="11" spans="2:13" ht="16.8" hidden="1">
      <c r="B11" s="16" t="str">
        <f>"PED-" &amp; Consumo_Mensal!$H11 &amp; "-" &amp; TEXT(Consumo_Mensal!$J11, "ddmmaa")</f>
        <v>PED-Farmácia Principal - Unidade 01-090226</v>
      </c>
      <c r="C11" s="17">
        <v>20819</v>
      </c>
      <c r="D11" s="16" t="s">
        <v>8</v>
      </c>
      <c r="E11" s="16" t="s">
        <v>16</v>
      </c>
      <c r="F11" s="16">
        <v>5</v>
      </c>
      <c r="G11" s="16" t="s">
        <v>191</v>
      </c>
      <c r="H11" s="16" t="s">
        <v>263</v>
      </c>
      <c r="I11" s="16" t="s">
        <v>266</v>
      </c>
      <c r="J11" s="18">
        <v>46062</v>
      </c>
      <c r="K11" s="18">
        <v>46063</v>
      </c>
      <c r="L11" s="19" t="str">
        <f>CONCATENATE(NETWORKDAYS(Consumo_Mensal!$J11, Consumo_Mensal!$K11)-1, " dia")</f>
        <v>1 dia</v>
      </c>
      <c r="M11" s="23">
        <f>IFERROR(Consumo_Mensal!$F11*VLOOKUP(Consumo_Mensal!$E11,TBEstoque[[DESCRIÇÃO]:[VALOR UNIT. (R$)]],7,0), 0)</f>
        <v>50.197500000000005</v>
      </c>
    </row>
    <row r="12" spans="2:13" ht="16.8" hidden="1">
      <c r="B12" s="16" t="str">
        <f>"PED-" &amp; Consumo_Mensal!$H12 &amp; "-" &amp; TEXT(Consumo_Mensal!$J12, "ddmmaa")</f>
        <v>PED-Farmácia Principal - Unidade 01-090226</v>
      </c>
      <c r="C12" s="17">
        <v>20821</v>
      </c>
      <c r="D12" s="16" t="s">
        <v>8</v>
      </c>
      <c r="E12" s="16" t="s">
        <v>11</v>
      </c>
      <c r="F12" s="16">
        <v>4</v>
      </c>
      <c r="G12" s="16" t="s">
        <v>191</v>
      </c>
      <c r="H12" s="16" t="s">
        <v>263</v>
      </c>
      <c r="I12" s="16" t="s">
        <v>266</v>
      </c>
      <c r="J12" s="18">
        <v>46062</v>
      </c>
      <c r="K12" s="18">
        <v>46063</v>
      </c>
      <c r="L12" s="19" t="str">
        <f>CONCATENATE(NETWORKDAYS(Consumo_Mensal!$J12, Consumo_Mensal!$K12)-1, " dia")</f>
        <v>1 dia</v>
      </c>
      <c r="M12" s="23">
        <f>IFERROR(Consumo_Mensal!$F12*VLOOKUP(Consumo_Mensal!$E12,TBEstoque[[DESCRIÇÃO]:[VALOR UNIT. (R$)]],7,0), 0)</f>
        <v>110.39999999999999</v>
      </c>
    </row>
    <row r="13" spans="2:13" ht="16.8" hidden="1">
      <c r="B13" s="16" t="str">
        <f>"PED-" &amp; Consumo_Mensal!$H13 &amp; "-" &amp; TEXT(Consumo_Mensal!$J13, "ddmmaa")</f>
        <v>PED-Farmácia Satélite - Unidade 02-100226</v>
      </c>
      <c r="C13" s="17">
        <v>20821</v>
      </c>
      <c r="D13" s="16" t="s">
        <v>8</v>
      </c>
      <c r="E13" s="16" t="s">
        <v>11</v>
      </c>
      <c r="F13" s="16">
        <v>3</v>
      </c>
      <c r="G13" s="16" t="s">
        <v>191</v>
      </c>
      <c r="H13" s="16" t="s">
        <v>256</v>
      </c>
      <c r="I13" s="16" t="s">
        <v>267</v>
      </c>
      <c r="J13" s="18">
        <v>46063</v>
      </c>
      <c r="K13" s="18">
        <v>46064</v>
      </c>
      <c r="L13" s="19" t="str">
        <f>CONCATENATE(NETWORKDAYS(Consumo_Mensal!$J13, Consumo_Mensal!$K13)-1, " dia")</f>
        <v>1 dia</v>
      </c>
      <c r="M13" s="23">
        <f>IFERROR(Consumo_Mensal!$F13*VLOOKUP(Consumo_Mensal!$E13,TBEstoque[[DESCRIÇÃO]:[VALOR UNIT. (R$)]],7,0), 0)</f>
        <v>82.8</v>
      </c>
    </row>
    <row r="14" spans="2:13" ht="16.8" hidden="1">
      <c r="B14" s="16" t="str">
        <f>"PED-" &amp; Consumo_Mensal!$H14 &amp; "-" &amp; TEXT(Consumo_Mensal!$J14, "ddmmaa")</f>
        <v>PED-Farmácia Satélite - Unidade 02-100226</v>
      </c>
      <c r="C14" s="17">
        <v>20815</v>
      </c>
      <c r="D14" s="16" t="s">
        <v>8</v>
      </c>
      <c r="E14" s="16" t="s">
        <v>10</v>
      </c>
      <c r="F14" s="16">
        <v>1</v>
      </c>
      <c r="G14" s="16" t="s">
        <v>191</v>
      </c>
      <c r="H14" s="16" t="s">
        <v>256</v>
      </c>
      <c r="I14" s="16" t="s">
        <v>267</v>
      </c>
      <c r="J14" s="18">
        <v>46063</v>
      </c>
      <c r="K14" s="18">
        <v>46064</v>
      </c>
      <c r="L14" s="19" t="str">
        <f>CONCATENATE(NETWORKDAYS(Consumo_Mensal!$J14, Consumo_Mensal!$K14)-1, " dia")</f>
        <v>1 dia</v>
      </c>
      <c r="M14" s="23">
        <f>IFERROR(Consumo_Mensal!$F14*VLOOKUP(Consumo_Mensal!$E14,TBEstoque[[DESCRIÇÃO]:[VALOR UNIT. (R$)]],7,0), 0)</f>
        <v>97.749999999999986</v>
      </c>
    </row>
    <row r="15" spans="2:13" ht="16.8" hidden="1">
      <c r="B15" s="16" t="str">
        <f>"PED-" &amp; Consumo_Mensal!$H15 &amp; "-" &amp; TEXT(Consumo_Mensal!$J15, "ddmmaa")</f>
        <v>PED-Farmácia Satélite - Unidade 02-100226</v>
      </c>
      <c r="C15" s="20">
        <v>20814</v>
      </c>
      <c r="D15" s="16" t="s">
        <v>8</v>
      </c>
      <c r="E15" s="20" t="s">
        <v>15</v>
      </c>
      <c r="F15" s="16">
        <v>1</v>
      </c>
      <c r="G15" s="16" t="s">
        <v>191</v>
      </c>
      <c r="H15" s="16" t="s">
        <v>256</v>
      </c>
      <c r="I15" s="16" t="s">
        <v>267</v>
      </c>
      <c r="J15" s="18">
        <v>46063</v>
      </c>
      <c r="K15" s="18">
        <v>46064</v>
      </c>
      <c r="L15" s="19" t="str">
        <f>CONCATENATE(NETWORKDAYS(Consumo_Mensal!$J15, Consumo_Mensal!$K15)-1, " dia")</f>
        <v>1 dia</v>
      </c>
      <c r="M15" s="23">
        <f>IFERROR(Consumo_Mensal!$F15*VLOOKUP(Consumo_Mensal!$E15,TBEstoque[[DESCRIÇÃO]:[VALOR UNIT. (R$)]],7,0), 0)</f>
        <v>6.8194999999999988</v>
      </c>
    </row>
    <row r="16" spans="2:13" ht="16.8" hidden="1">
      <c r="B16" s="16" t="str">
        <f>"PED-" &amp; Consumo_Mensal!$H16 &amp; "-" &amp; TEXT(Consumo_Mensal!$J16, "ddmmaa")</f>
        <v>PED-Farmácia Satélite - Unidade 03-100226</v>
      </c>
      <c r="C16" s="17">
        <v>20819</v>
      </c>
      <c r="D16" s="16" t="s">
        <v>8</v>
      </c>
      <c r="E16" s="16" t="s">
        <v>16</v>
      </c>
      <c r="F16" s="16">
        <v>1</v>
      </c>
      <c r="G16" s="16" t="s">
        <v>191</v>
      </c>
      <c r="H16" s="16" t="s">
        <v>257</v>
      </c>
      <c r="I16" s="16" t="s">
        <v>268</v>
      </c>
      <c r="J16" s="18">
        <v>46063</v>
      </c>
      <c r="K16" s="18">
        <v>46064</v>
      </c>
      <c r="L16" s="19" t="str">
        <f>CONCATENATE(NETWORKDAYS(Consumo_Mensal!$J16, Consumo_Mensal!$K16)-1, " dia")</f>
        <v>1 dia</v>
      </c>
      <c r="M16" s="23">
        <f>IFERROR(Consumo_Mensal!$F16*VLOOKUP(Consumo_Mensal!$E16,TBEstoque[[DESCRIÇÃO]:[VALOR UNIT. (R$)]],7,0), 0)</f>
        <v>10.0395</v>
      </c>
    </row>
    <row r="17" spans="2:13" ht="16.8" hidden="1">
      <c r="B17" s="16" t="str">
        <f>"PED-" &amp; Consumo_Mensal!$H17 &amp; "-" &amp; TEXT(Consumo_Mensal!$J17, "ddmmaa")</f>
        <v>PED-Farmácia Satélite - Unidade 03-100226</v>
      </c>
      <c r="C17" s="17">
        <v>20821</v>
      </c>
      <c r="D17" s="16" t="s">
        <v>8</v>
      </c>
      <c r="E17" s="16" t="s">
        <v>11</v>
      </c>
      <c r="F17" s="16">
        <v>3</v>
      </c>
      <c r="G17" s="16" t="s">
        <v>191</v>
      </c>
      <c r="H17" s="16" t="s">
        <v>257</v>
      </c>
      <c r="I17" s="16" t="s">
        <v>268</v>
      </c>
      <c r="J17" s="18">
        <v>46063</v>
      </c>
      <c r="K17" s="18">
        <v>46064</v>
      </c>
      <c r="L17" s="19" t="str">
        <f>CONCATENATE(NETWORKDAYS(Consumo_Mensal!$J17, Consumo_Mensal!$K17)-1, " dia")</f>
        <v>1 dia</v>
      </c>
      <c r="M17" s="23">
        <f>IFERROR(Consumo_Mensal!$F17*VLOOKUP(Consumo_Mensal!$E17,TBEstoque[[DESCRIÇÃO]:[VALOR UNIT. (R$)]],7,0), 0)</f>
        <v>82.8</v>
      </c>
    </row>
    <row r="18" spans="2:13" ht="16.8" hidden="1">
      <c r="B18" s="16" t="str">
        <f>"PED-" &amp; Consumo_Mensal!$H18 &amp; "-" &amp; TEXT(Consumo_Mensal!$J18, "ddmmaa")</f>
        <v>PED-Farmácia Satélite - Unidade 03-100226</v>
      </c>
      <c r="C18" s="17">
        <v>20817</v>
      </c>
      <c r="D18" s="16" t="s">
        <v>8</v>
      </c>
      <c r="E18" s="16" t="s">
        <v>9</v>
      </c>
      <c r="F18" s="16">
        <v>2</v>
      </c>
      <c r="G18" s="16" t="s">
        <v>191</v>
      </c>
      <c r="H18" s="16" t="s">
        <v>257</v>
      </c>
      <c r="I18" s="16" t="s">
        <v>268</v>
      </c>
      <c r="J18" s="18">
        <v>46063</v>
      </c>
      <c r="K18" s="18">
        <v>46064</v>
      </c>
      <c r="L18" s="19" t="str">
        <f>CONCATENATE(NETWORKDAYS(Consumo_Mensal!$J18, Consumo_Mensal!$K18)-1, " dia")</f>
        <v>1 dia</v>
      </c>
      <c r="M18" s="23">
        <f>IFERROR(Consumo_Mensal!$F18*VLOOKUP(Consumo_Mensal!$E18,TBEstoque[[DESCRIÇÃO]:[VALOR UNIT. (R$)]],7,0), 0)</f>
        <v>126.49999999999999</v>
      </c>
    </row>
    <row r="19" spans="2:13" ht="16.8">
      <c r="B19" s="16" t="str">
        <f>"PED-" &amp; Consumo_Mensal!$H19 &amp; "-" &amp; TEXT(Consumo_Mensal!$J19, "ddmmaa")</f>
        <v>PED-Planta Industrial - Suprimentos-100226</v>
      </c>
      <c r="C19" s="20">
        <v>20814</v>
      </c>
      <c r="D19" s="16" t="s">
        <v>8</v>
      </c>
      <c r="E19" s="20" t="s">
        <v>15</v>
      </c>
      <c r="F19" s="16">
        <v>6</v>
      </c>
      <c r="G19" s="16" t="s">
        <v>191</v>
      </c>
      <c r="H19" s="16" t="s">
        <v>258</v>
      </c>
      <c r="I19" s="16" t="s">
        <v>269</v>
      </c>
      <c r="J19" s="18">
        <v>46063</v>
      </c>
      <c r="K19" s="18">
        <v>46064</v>
      </c>
      <c r="L19" s="19" t="str">
        <f>CONCATENATE(NETWORKDAYS(Consumo_Mensal!$J19, Consumo_Mensal!$K19)-1, " dia")</f>
        <v>1 dia</v>
      </c>
      <c r="M19" s="23">
        <f>IFERROR(Consumo_Mensal!$F19*VLOOKUP(Consumo_Mensal!$E19,TBEstoque[[DESCRIÇÃO]:[VALOR UNIT. (R$)]],7,0), 0)</f>
        <v>40.916999999999994</v>
      </c>
    </row>
    <row r="20" spans="2:13" ht="16.8">
      <c r="B20" s="16" t="str">
        <f>"PED-" &amp; Consumo_Mensal!$H20 &amp; "-" &amp; TEXT(Consumo_Mensal!$J20, "ddmmaa")</f>
        <v>PED-Planta Industrial - Suprimentos-100226</v>
      </c>
      <c r="C20" s="17">
        <v>20815</v>
      </c>
      <c r="D20" s="16" t="s">
        <v>8</v>
      </c>
      <c r="E20" s="16" t="s">
        <v>10</v>
      </c>
      <c r="F20" s="16">
        <v>10</v>
      </c>
      <c r="G20" s="16" t="s">
        <v>191</v>
      </c>
      <c r="H20" s="16" t="s">
        <v>258</v>
      </c>
      <c r="I20" s="16" t="s">
        <v>269</v>
      </c>
      <c r="J20" s="18">
        <v>46063</v>
      </c>
      <c r="K20" s="18">
        <v>46064</v>
      </c>
      <c r="L20" s="19" t="str">
        <f>CONCATENATE(NETWORKDAYS(Consumo_Mensal!$J20, Consumo_Mensal!$K20)-1, " dia")</f>
        <v>1 dia</v>
      </c>
      <c r="M20" s="23">
        <f>IFERROR(Consumo_Mensal!$F20*VLOOKUP(Consumo_Mensal!$E20,TBEstoque[[DESCRIÇÃO]:[VALOR UNIT. (R$)]],7,0), 0)</f>
        <v>977.49999999999989</v>
      </c>
    </row>
    <row r="21" spans="2:13" ht="16.8">
      <c r="B21" s="16" t="str">
        <f>"PED-" &amp; Consumo_Mensal!$H21 &amp; "-" &amp; TEXT(Consumo_Mensal!$J21, "ddmmaa")</f>
        <v>PED-Planta Industrial - Suprimentos-100226</v>
      </c>
      <c r="C21" s="17">
        <v>20817</v>
      </c>
      <c r="D21" s="16" t="s">
        <v>8</v>
      </c>
      <c r="E21" s="16" t="s">
        <v>9</v>
      </c>
      <c r="F21" s="16">
        <v>12</v>
      </c>
      <c r="G21" s="16" t="s">
        <v>191</v>
      </c>
      <c r="H21" s="16" t="s">
        <v>258</v>
      </c>
      <c r="I21" s="16" t="s">
        <v>269</v>
      </c>
      <c r="J21" s="18">
        <v>46063</v>
      </c>
      <c r="K21" s="18">
        <v>46064</v>
      </c>
      <c r="L21" s="19" t="str">
        <f>CONCATENATE(NETWORKDAYS(Consumo_Mensal!$J21, Consumo_Mensal!$K21)-1, " dia")</f>
        <v>1 dia</v>
      </c>
      <c r="M21" s="23">
        <f>IFERROR(Consumo_Mensal!$F21*VLOOKUP(Consumo_Mensal!$E21,TBEstoque[[DESCRIÇÃO]:[VALOR UNIT. (R$)]],7,0), 0)</f>
        <v>758.99999999999989</v>
      </c>
    </row>
    <row r="22" spans="2:13" ht="16.8">
      <c r="B22" s="16" t="str">
        <f>"PED-" &amp; Consumo_Mensal!$H22 &amp; "-" &amp; TEXT(Consumo_Mensal!$J22, "ddmmaa")</f>
        <v>PED-Planta Industrial - Suprimentos-100226</v>
      </c>
      <c r="C22" s="17">
        <v>20821</v>
      </c>
      <c r="D22" s="16" t="s">
        <v>8</v>
      </c>
      <c r="E22" s="16" t="s">
        <v>11</v>
      </c>
      <c r="F22" s="16">
        <v>20</v>
      </c>
      <c r="G22" s="16" t="s">
        <v>191</v>
      </c>
      <c r="H22" s="16" t="s">
        <v>258</v>
      </c>
      <c r="I22" s="16" t="s">
        <v>269</v>
      </c>
      <c r="J22" s="18">
        <v>46063</v>
      </c>
      <c r="K22" s="18">
        <v>46064</v>
      </c>
      <c r="L22" s="19" t="str">
        <f>CONCATENATE(NETWORKDAYS(Consumo_Mensal!$J22, Consumo_Mensal!$K22)-1, " dia")</f>
        <v>1 dia</v>
      </c>
      <c r="M22" s="23">
        <f>IFERROR(Consumo_Mensal!$F22*VLOOKUP(Consumo_Mensal!$E22,TBEstoque[[DESCRIÇÃO]:[VALOR UNIT. (R$)]],7,0), 0)</f>
        <v>552</v>
      </c>
    </row>
    <row r="23" spans="2:13" ht="16.8" hidden="1">
      <c r="B23" s="16" t="str">
        <f>"PED-" &amp; Consumo_Mensal!$H23 &amp; "-" &amp; TEXT(Consumo_Mensal!$J23, "ddmmaa")</f>
        <v>PED-Farmácia Satélite - Unidade 04-100226</v>
      </c>
      <c r="C23" s="20">
        <v>20814</v>
      </c>
      <c r="D23" s="16" t="s">
        <v>8</v>
      </c>
      <c r="E23" s="20" t="s">
        <v>15</v>
      </c>
      <c r="F23" s="16">
        <v>1</v>
      </c>
      <c r="G23" s="16" t="s">
        <v>191</v>
      </c>
      <c r="H23" s="16" t="s">
        <v>259</v>
      </c>
      <c r="I23" s="16" t="s">
        <v>270</v>
      </c>
      <c r="J23" s="18">
        <v>46063</v>
      </c>
      <c r="K23" s="18">
        <v>46064</v>
      </c>
      <c r="L23" s="19" t="str">
        <f>CONCATENATE(NETWORKDAYS(Consumo_Mensal!$J23, Consumo_Mensal!$K23)-1, " dia")</f>
        <v>1 dia</v>
      </c>
      <c r="M23" s="23">
        <f>IFERROR(Consumo_Mensal!$F23*VLOOKUP(Consumo_Mensal!$E23,TBEstoque[[DESCRIÇÃO]:[VALOR UNIT. (R$)]],7,0), 0)</f>
        <v>6.8194999999999988</v>
      </c>
    </row>
    <row r="24" spans="2:13" ht="16.8" hidden="1">
      <c r="B24" s="16" t="str">
        <f>"PED-" &amp; Consumo_Mensal!$H24 &amp; "-" &amp; TEXT(Consumo_Mensal!$J24, "ddmmaa")</f>
        <v>PED-Farmácia Satélite - Unidade 04-100226</v>
      </c>
      <c r="C24" s="17">
        <v>20815</v>
      </c>
      <c r="D24" s="16" t="s">
        <v>8</v>
      </c>
      <c r="E24" s="16" t="s">
        <v>10</v>
      </c>
      <c r="F24" s="16">
        <v>1</v>
      </c>
      <c r="G24" s="16" t="s">
        <v>191</v>
      </c>
      <c r="H24" s="16" t="s">
        <v>259</v>
      </c>
      <c r="I24" s="16" t="s">
        <v>270</v>
      </c>
      <c r="J24" s="18">
        <v>46063</v>
      </c>
      <c r="K24" s="18">
        <v>46064</v>
      </c>
      <c r="L24" s="19" t="str">
        <f>CONCATENATE(NETWORKDAYS(Consumo_Mensal!$J24, Consumo_Mensal!$K24)-1, " dia")</f>
        <v>1 dia</v>
      </c>
      <c r="M24" s="23">
        <f>IFERROR(Consumo_Mensal!$F24*VLOOKUP(Consumo_Mensal!$E24,TBEstoque[[DESCRIÇÃO]:[VALOR UNIT. (R$)]],7,0), 0)</f>
        <v>97.749999999999986</v>
      </c>
    </row>
    <row r="25" spans="2:13" ht="16.8" hidden="1">
      <c r="B25" s="16" t="str">
        <f>"PED-" &amp; Consumo_Mensal!$H25 &amp; "-" &amp; TEXT(Consumo_Mensal!$J25, "ddmmaa")</f>
        <v>PED-Farmácia Satélite - Unidade 04-100226</v>
      </c>
      <c r="C25" s="17">
        <v>20821</v>
      </c>
      <c r="D25" s="16" t="s">
        <v>8</v>
      </c>
      <c r="E25" s="16" t="s">
        <v>11</v>
      </c>
      <c r="F25" s="16">
        <v>3</v>
      </c>
      <c r="G25" s="16" t="s">
        <v>191</v>
      </c>
      <c r="H25" s="16" t="s">
        <v>259</v>
      </c>
      <c r="I25" s="16" t="s">
        <v>270</v>
      </c>
      <c r="J25" s="18">
        <v>46063</v>
      </c>
      <c r="K25" s="18">
        <v>46064</v>
      </c>
      <c r="L25" s="19" t="str">
        <f>CONCATENATE(NETWORKDAYS(Consumo_Mensal!$J25, Consumo_Mensal!$K25)-1, " dia")</f>
        <v>1 dia</v>
      </c>
      <c r="M25" s="23">
        <f>IFERROR(Consumo_Mensal!$F25*VLOOKUP(Consumo_Mensal!$E25,TBEstoque[[DESCRIÇÃO]:[VALOR UNIT. (R$)]],7,0), 0)</f>
        <v>82.8</v>
      </c>
    </row>
    <row r="26" spans="2:13" ht="16.8" hidden="1">
      <c r="B26" s="16" t="str">
        <f>"PED-" &amp; Consumo_Mensal!$H26 &amp; "-" &amp; TEXT(Consumo_Mensal!$J26, "ddmmaa")</f>
        <v>PED-Farmácia Satélite - Unidade 04-100226</v>
      </c>
      <c r="C26" s="17">
        <v>20819</v>
      </c>
      <c r="D26" s="16" t="s">
        <v>8</v>
      </c>
      <c r="E26" s="16" t="s">
        <v>16</v>
      </c>
      <c r="F26" s="16">
        <v>3</v>
      </c>
      <c r="G26" s="16" t="s">
        <v>191</v>
      </c>
      <c r="H26" s="16" t="s">
        <v>259</v>
      </c>
      <c r="I26" s="16" t="s">
        <v>270</v>
      </c>
      <c r="J26" s="18">
        <v>46063</v>
      </c>
      <c r="K26" s="18">
        <v>46064</v>
      </c>
      <c r="L26" s="19" t="str">
        <f>CONCATENATE(NETWORKDAYS(Consumo_Mensal!$J26, Consumo_Mensal!$K26)-1, " dia")</f>
        <v>1 dia</v>
      </c>
      <c r="M26" s="23">
        <f>IFERROR(Consumo_Mensal!$F26*VLOOKUP(Consumo_Mensal!$E26,TBEstoque[[DESCRIÇÃO]:[VALOR UNIT. (R$)]],7,0), 0)</f>
        <v>30.118500000000001</v>
      </c>
    </row>
    <row r="27" spans="2:13" ht="16.8" hidden="1">
      <c r="B27" s="16" t="str">
        <f>"PED-" &amp; Consumo_Mensal!$H27 &amp; "-" &amp; TEXT(Consumo_Mensal!$J27, "ddmmaa")</f>
        <v>PED-Escritório Central - Sede-110226</v>
      </c>
      <c r="C27" s="17">
        <v>20816</v>
      </c>
      <c r="D27" s="16" t="s">
        <v>8</v>
      </c>
      <c r="E27" s="16" t="s">
        <v>49</v>
      </c>
      <c r="F27" s="16">
        <v>3</v>
      </c>
      <c r="G27" s="16" t="s">
        <v>191</v>
      </c>
      <c r="H27" s="16" t="s">
        <v>260</v>
      </c>
      <c r="I27" s="16" t="s">
        <v>271</v>
      </c>
      <c r="J27" s="18">
        <v>46064</v>
      </c>
      <c r="K27" s="18">
        <v>46065</v>
      </c>
      <c r="L27" s="19" t="str">
        <f>CONCATENATE(NETWORKDAYS(Consumo_Mensal!$J27, Consumo_Mensal!$K27)-1, " dia")</f>
        <v>1 dia</v>
      </c>
      <c r="M27" s="23">
        <f>IFERROR(Consumo_Mensal!$F27*VLOOKUP(Consumo_Mensal!$E27,TBEstoque[[DESCRIÇÃO]:[VALOR UNIT. (R$)]],7,0), 0)</f>
        <v>154.90499999999997</v>
      </c>
    </row>
    <row r="28" spans="2:13" ht="16.8" hidden="1">
      <c r="B28" s="16" t="str">
        <f>"PED-" &amp; Consumo_Mensal!$H28 &amp; "-" &amp; TEXT(Consumo_Mensal!$J28, "ddmmaa")</f>
        <v>PED-Escritório Central - Sede-110226</v>
      </c>
      <c r="C28" s="17">
        <v>20817</v>
      </c>
      <c r="D28" s="16" t="s">
        <v>8</v>
      </c>
      <c r="E28" s="16" t="s">
        <v>9</v>
      </c>
      <c r="F28" s="16">
        <v>3</v>
      </c>
      <c r="G28" s="16" t="s">
        <v>191</v>
      </c>
      <c r="H28" s="16" t="s">
        <v>260</v>
      </c>
      <c r="I28" s="16" t="s">
        <v>271</v>
      </c>
      <c r="J28" s="18">
        <v>46064</v>
      </c>
      <c r="K28" s="18">
        <v>46065</v>
      </c>
      <c r="L28" s="19" t="str">
        <f>CONCATENATE(NETWORKDAYS(Consumo_Mensal!$J28, Consumo_Mensal!$K28)-1, " dia")</f>
        <v>1 dia</v>
      </c>
      <c r="M28" s="23">
        <f>IFERROR(Consumo_Mensal!$F28*VLOOKUP(Consumo_Mensal!$E28,TBEstoque[[DESCRIÇÃO]:[VALOR UNIT. (R$)]],7,0), 0)</f>
        <v>189.74999999999997</v>
      </c>
    </row>
    <row r="29" spans="2:13" ht="16.8" hidden="1">
      <c r="B29" s="16" t="str">
        <f>"PED-" &amp; Consumo_Mensal!$H29 &amp; "-" &amp; TEXT(Consumo_Mensal!$J29, "ddmmaa")</f>
        <v>PED-Escritório Central - Sede-110226</v>
      </c>
      <c r="C29" s="17">
        <v>20815</v>
      </c>
      <c r="D29" s="16" t="s">
        <v>8</v>
      </c>
      <c r="E29" s="16" t="s">
        <v>10</v>
      </c>
      <c r="F29" s="16">
        <v>5</v>
      </c>
      <c r="G29" s="16" t="s">
        <v>191</v>
      </c>
      <c r="H29" s="16" t="s">
        <v>260</v>
      </c>
      <c r="I29" s="16" t="s">
        <v>271</v>
      </c>
      <c r="J29" s="18">
        <v>46064</v>
      </c>
      <c r="K29" s="18">
        <v>46065</v>
      </c>
      <c r="L29" s="19" t="str">
        <f>CONCATENATE(NETWORKDAYS(Consumo_Mensal!$J29, Consumo_Mensal!$K29)-1, " dia")</f>
        <v>1 dia</v>
      </c>
      <c r="M29" s="23">
        <f>IFERROR(Consumo_Mensal!$F29*VLOOKUP(Consumo_Mensal!$E29,TBEstoque[[DESCRIÇÃO]:[VALOR UNIT. (R$)]],7,0), 0)</f>
        <v>488.74999999999994</v>
      </c>
    </row>
    <row r="30" spans="2:13" ht="16.8" hidden="1">
      <c r="B30" s="16" t="str">
        <f>"PED-" &amp; Consumo_Mensal!$H30 &amp; "-" &amp; TEXT(Consumo_Mensal!$J30, "ddmmaa")</f>
        <v>PED-CD Logística - Regional ABC-130226</v>
      </c>
      <c r="C30" s="17">
        <v>20817</v>
      </c>
      <c r="D30" s="16" t="s">
        <v>8</v>
      </c>
      <c r="E30" s="16" t="s">
        <v>9</v>
      </c>
      <c r="F30" s="16">
        <v>3</v>
      </c>
      <c r="G30" s="16" t="s">
        <v>191</v>
      </c>
      <c r="H30" s="16" t="s">
        <v>255</v>
      </c>
      <c r="I30" s="16" t="s">
        <v>265</v>
      </c>
      <c r="J30" s="18">
        <v>46066</v>
      </c>
      <c r="K30" s="18">
        <v>46069</v>
      </c>
      <c r="L30" s="19" t="str">
        <f>CONCATENATE(NETWORKDAYS(Consumo_Mensal!$J30, Consumo_Mensal!$K30)-1, " dia")</f>
        <v>1 dia</v>
      </c>
      <c r="M30" s="23">
        <f>IFERROR(Consumo_Mensal!$F30*VLOOKUP(Consumo_Mensal!$E30,TBEstoque[[DESCRIÇÃO]:[VALOR UNIT. (R$)]],7,0), 0)</f>
        <v>189.74999999999997</v>
      </c>
    </row>
    <row r="31" spans="2:13" ht="16.8" hidden="1">
      <c r="B31" s="16" t="str">
        <f>"PED-" &amp; Consumo_Mensal!$H31 &amp; "-" &amp; TEXT(Consumo_Mensal!$J31, "ddmmaa")</f>
        <v>PED-CD Logística - Regional ABC-130226</v>
      </c>
      <c r="C31" s="20">
        <v>20814</v>
      </c>
      <c r="D31" s="16" t="s">
        <v>8</v>
      </c>
      <c r="E31" s="20" t="s">
        <v>15</v>
      </c>
      <c r="F31" s="16">
        <v>3</v>
      </c>
      <c r="G31" s="16" t="s">
        <v>191</v>
      </c>
      <c r="H31" s="16" t="s">
        <v>255</v>
      </c>
      <c r="I31" s="16" t="s">
        <v>265</v>
      </c>
      <c r="J31" s="18">
        <v>46066</v>
      </c>
      <c r="K31" s="18">
        <v>46069</v>
      </c>
      <c r="L31" s="19" t="str">
        <f>CONCATENATE(NETWORKDAYS(Consumo_Mensal!$J31, Consumo_Mensal!$K31)-1, " dia")</f>
        <v>1 dia</v>
      </c>
      <c r="M31" s="23">
        <f>IFERROR(Consumo_Mensal!$F31*VLOOKUP(Consumo_Mensal!$E31,TBEstoque[[DESCRIÇÃO]:[VALOR UNIT. (R$)]],7,0), 0)</f>
        <v>20.458499999999997</v>
      </c>
    </row>
    <row r="32" spans="2:13" ht="16.8" hidden="1">
      <c r="B32" s="20" t="str">
        <f>"PED-" &amp; Consumo_Mensal!$H32 &amp; "-" &amp; TEXT(Consumo_Mensal!$J32, "ddmmaa")</f>
        <v>PED-Escritório Apoio - Gestão-180226</v>
      </c>
      <c r="C32" s="17">
        <v>20821</v>
      </c>
      <c r="D32" s="20" t="s">
        <v>8</v>
      </c>
      <c r="E32" s="20" t="s">
        <v>11</v>
      </c>
      <c r="F32" s="20">
        <v>10</v>
      </c>
      <c r="G32" s="20" t="s">
        <v>186</v>
      </c>
      <c r="H32" s="16" t="s">
        <v>261</v>
      </c>
      <c r="I32" s="16" t="s">
        <v>272</v>
      </c>
      <c r="J32" s="21">
        <v>46071</v>
      </c>
      <c r="K32" s="18">
        <v>46072</v>
      </c>
      <c r="L32" s="19" t="str">
        <f>CONCATENATE(NETWORKDAYS(Consumo_Mensal!$J32, Consumo_Mensal!$K32)-1, " dia")</f>
        <v>1 dia</v>
      </c>
      <c r="M32" s="23">
        <f>IFERROR(Consumo_Mensal!$F32*VLOOKUP(Consumo_Mensal!$E32,TBEstoque[[DESCRIÇÃO]:[VALOR UNIT. (R$)]],7,0), 0)</f>
        <v>276</v>
      </c>
    </row>
    <row r="33" spans="2:13" ht="16.8" hidden="1">
      <c r="B33" s="20" t="str">
        <f>"PED-" &amp; Consumo_Mensal!$H33 &amp; "-" &amp; TEXT(Consumo_Mensal!$J33, "ddmmaa")</f>
        <v>PED-Escritório Apoio - Gestão-180226</v>
      </c>
      <c r="C33" s="17">
        <v>20816</v>
      </c>
      <c r="D33" s="20" t="s">
        <v>8</v>
      </c>
      <c r="E33" s="20" t="s">
        <v>49</v>
      </c>
      <c r="F33" s="20">
        <v>10</v>
      </c>
      <c r="G33" s="20" t="s">
        <v>186</v>
      </c>
      <c r="H33" s="16" t="s">
        <v>261</v>
      </c>
      <c r="I33" s="16" t="s">
        <v>272</v>
      </c>
      <c r="J33" s="21">
        <v>46071</v>
      </c>
      <c r="K33" s="18">
        <v>46072</v>
      </c>
      <c r="L33" s="19" t="str">
        <f>CONCATENATE(NETWORKDAYS(Consumo_Mensal!$J33, Consumo_Mensal!$K33)-1, " dia")</f>
        <v>1 dia</v>
      </c>
      <c r="M33" s="23">
        <f>IFERROR(Consumo_Mensal!$F33*VLOOKUP(Consumo_Mensal!$E33,TBEstoque[[DESCRIÇÃO]:[VALOR UNIT. (R$)]],7,0), 0)</f>
        <v>516.34999999999991</v>
      </c>
    </row>
    <row r="34" spans="2:13" ht="16.8" hidden="1">
      <c r="B34" s="20" t="str">
        <f>"PED-" &amp; Consumo_Mensal!$H34 &amp; "-" &amp; TEXT(Consumo_Mensal!$J34, "ddmmaa")</f>
        <v>PED-Escritório Apoio - Gestão-180226</v>
      </c>
      <c r="C34" s="17">
        <v>20815</v>
      </c>
      <c r="D34" s="20" t="s">
        <v>8</v>
      </c>
      <c r="E34" s="20" t="s">
        <v>10</v>
      </c>
      <c r="F34" s="20">
        <v>3</v>
      </c>
      <c r="G34" s="20" t="s">
        <v>186</v>
      </c>
      <c r="H34" s="16" t="s">
        <v>261</v>
      </c>
      <c r="I34" s="16" t="s">
        <v>272</v>
      </c>
      <c r="J34" s="21">
        <v>46071</v>
      </c>
      <c r="K34" s="18">
        <v>46072</v>
      </c>
      <c r="L34" s="19" t="str">
        <f>CONCATENATE(NETWORKDAYS(Consumo_Mensal!$J34, Consumo_Mensal!$K34)-1, " dia")</f>
        <v>1 dia</v>
      </c>
      <c r="M34" s="23">
        <f>IFERROR(Consumo_Mensal!$F34*VLOOKUP(Consumo_Mensal!$E34,TBEstoque[[DESCRIÇÃO]:[VALOR UNIT. (R$)]],7,0), 0)</f>
        <v>293.24999999999994</v>
      </c>
    </row>
    <row r="35" spans="2:13" ht="16.8" hidden="1">
      <c r="B35" s="20" t="str">
        <f>"PED-" &amp; Consumo_Mensal!$H35 &amp; "-" &amp; TEXT(Consumo_Mensal!$J35, "ddmmaa")</f>
        <v>PED-Escritório Apoio - Gestão-180226</v>
      </c>
      <c r="C35" s="17">
        <v>20817</v>
      </c>
      <c r="D35" s="20" t="s">
        <v>8</v>
      </c>
      <c r="E35" s="20" t="s">
        <v>9</v>
      </c>
      <c r="F35" s="20">
        <v>5</v>
      </c>
      <c r="G35" s="20" t="s">
        <v>186</v>
      </c>
      <c r="H35" s="16" t="s">
        <v>261</v>
      </c>
      <c r="I35" s="16" t="s">
        <v>272</v>
      </c>
      <c r="J35" s="21">
        <v>46071</v>
      </c>
      <c r="K35" s="18">
        <v>46072</v>
      </c>
      <c r="L35" s="19" t="str">
        <f>CONCATENATE(NETWORKDAYS(Consumo_Mensal!$J35, Consumo_Mensal!$K35)-1, " dia")</f>
        <v>1 dia</v>
      </c>
      <c r="M35" s="23">
        <f>IFERROR(Consumo_Mensal!$F35*VLOOKUP(Consumo_Mensal!$E35,TBEstoque[[DESCRIÇÃO]:[VALOR UNIT. (R$)]],7,0), 0)</f>
        <v>316.24999999999994</v>
      </c>
    </row>
    <row r="36" spans="2:13" ht="16.8" hidden="1">
      <c r="B36" s="20" t="str">
        <f>"PED-" &amp; Consumo_Mensal!$H36 &amp; "-" &amp; TEXT(Consumo_Mensal!$J36, "ddmmaa")</f>
        <v>PED-Escritório Apoio - Gestão-180226</v>
      </c>
      <c r="C36" s="17">
        <v>20818</v>
      </c>
      <c r="D36" s="20" t="s">
        <v>8</v>
      </c>
      <c r="E36" s="20" t="s">
        <v>63</v>
      </c>
      <c r="F36" s="20">
        <v>2</v>
      </c>
      <c r="G36" s="16" t="s">
        <v>191</v>
      </c>
      <c r="H36" s="16" t="s">
        <v>261</v>
      </c>
      <c r="I36" s="16" t="s">
        <v>272</v>
      </c>
      <c r="J36" s="21">
        <v>46071</v>
      </c>
      <c r="K36" s="18">
        <v>46072</v>
      </c>
      <c r="L36" s="19" t="str">
        <f>CONCATENATE(NETWORKDAYS(Consumo_Mensal!$J36, Consumo_Mensal!$K36)-1, " dia")</f>
        <v>1 dia</v>
      </c>
      <c r="M36" s="23">
        <f>IFERROR(Consumo_Mensal!$F36*VLOOKUP(Consumo_Mensal!$E36,TBEstoque[[DESCRIÇÃO]:[VALOR UNIT. (R$)]],7,0), 0)</f>
        <v>19.986999999999998</v>
      </c>
    </row>
    <row r="37" spans="2:13" ht="16.8" hidden="1">
      <c r="B37" s="20" t="str">
        <f>"PED-" &amp; Consumo_Mensal!$H37 &amp; "-" &amp; TEXT(Consumo_Mensal!$J37, "ddmmaa")</f>
        <v>PED-Escritório Apoio - Gestão-180226</v>
      </c>
      <c r="C37" s="17">
        <v>20820</v>
      </c>
      <c r="D37" s="20" t="s">
        <v>8</v>
      </c>
      <c r="E37" s="20" t="s">
        <v>64</v>
      </c>
      <c r="F37" s="20">
        <v>2</v>
      </c>
      <c r="G37" s="16" t="s">
        <v>191</v>
      </c>
      <c r="H37" s="16" t="s">
        <v>261</v>
      </c>
      <c r="I37" s="16" t="s">
        <v>272</v>
      </c>
      <c r="J37" s="21">
        <v>46071</v>
      </c>
      <c r="K37" s="18">
        <v>46072</v>
      </c>
      <c r="L37" s="19" t="str">
        <f>CONCATENATE(NETWORKDAYS(Consumo_Mensal!$J37, Consumo_Mensal!$K37)-1, " dia")</f>
        <v>1 dia</v>
      </c>
      <c r="M37" s="23">
        <f>IFERROR(Consumo_Mensal!$F37*VLOOKUP(Consumo_Mensal!$E37,TBEstoque[[DESCRIÇÃO]:[VALOR UNIT. (R$)]],7,0), 0)</f>
        <v>9.98</v>
      </c>
    </row>
    <row r="38" spans="2:13" ht="16.8" hidden="1">
      <c r="B38" s="20" t="str">
        <f>"PED-" &amp; Consumo_Mensal!$H38 &amp; "-" &amp; TEXT(Consumo_Mensal!$J38, "ddmmaa")</f>
        <v>PED-Farmácia Satélite - Unidade 02-200226</v>
      </c>
      <c r="C38" s="17">
        <v>20821</v>
      </c>
      <c r="D38" s="20" t="s">
        <v>8</v>
      </c>
      <c r="E38" s="20" t="s">
        <v>11</v>
      </c>
      <c r="F38" s="20">
        <v>7</v>
      </c>
      <c r="G38" s="20" t="s">
        <v>186</v>
      </c>
      <c r="H38" s="16" t="s">
        <v>256</v>
      </c>
      <c r="I38" s="16" t="s">
        <v>267</v>
      </c>
      <c r="J38" s="21">
        <v>46073</v>
      </c>
      <c r="K38" s="21">
        <v>46076</v>
      </c>
      <c r="L38" s="19" t="str">
        <f>CONCATENATE(NETWORKDAYS(Consumo_Mensal!$J38, Consumo_Mensal!$K38)-1, " dia")</f>
        <v>1 dia</v>
      </c>
      <c r="M38" s="23">
        <f>IFERROR(Consumo_Mensal!$F38*VLOOKUP(Consumo_Mensal!$E38,TBEstoque[[DESCRIÇÃO]:[VALOR UNIT. (R$)]],7,0), 0)</f>
        <v>193.2</v>
      </c>
    </row>
    <row r="39" spans="2:13" ht="16.8" hidden="1">
      <c r="B39" s="20" t="str">
        <f>"PED-" &amp; Consumo_Mensal!$H39 &amp; "-" &amp; TEXT(Consumo_Mensal!$J39, "ddmmaa")</f>
        <v>PED-Farmácia Satélite - Unidade 02-200226</v>
      </c>
      <c r="C39" s="20">
        <v>20814</v>
      </c>
      <c r="D39" s="20" t="s">
        <v>8</v>
      </c>
      <c r="E39" s="20" t="s">
        <v>15</v>
      </c>
      <c r="F39" s="20">
        <v>1</v>
      </c>
      <c r="G39" s="20" t="s">
        <v>186</v>
      </c>
      <c r="H39" s="16" t="s">
        <v>256</v>
      </c>
      <c r="I39" s="16" t="s">
        <v>267</v>
      </c>
      <c r="J39" s="21">
        <v>46073</v>
      </c>
      <c r="K39" s="21">
        <v>46076</v>
      </c>
      <c r="L39" s="19" t="str">
        <f>CONCATENATE(NETWORKDAYS(Consumo_Mensal!$J39, Consumo_Mensal!$K39)-1, " dia")</f>
        <v>1 dia</v>
      </c>
      <c r="M39" s="23">
        <f>IFERROR(Consumo_Mensal!$F39*VLOOKUP(Consumo_Mensal!$E39,TBEstoque[[DESCRIÇÃO]:[VALOR UNIT. (R$)]],7,0), 0)</f>
        <v>6.8194999999999988</v>
      </c>
    </row>
    <row r="40" spans="2:13" ht="16.8" hidden="1">
      <c r="B40" s="20" t="str">
        <f>"PED-" &amp; Consumo_Mensal!$H40 &amp; "-" &amp; TEXT(Consumo_Mensal!$J40, "ddmmaa")</f>
        <v>PED-Farmácia Satélite - Unidade 02-200226</v>
      </c>
      <c r="C40" s="17">
        <v>20817</v>
      </c>
      <c r="D40" s="20" t="s">
        <v>8</v>
      </c>
      <c r="E40" s="20" t="s">
        <v>9</v>
      </c>
      <c r="F40" s="20">
        <v>4</v>
      </c>
      <c r="G40" s="20" t="s">
        <v>186</v>
      </c>
      <c r="H40" s="16" t="s">
        <v>256</v>
      </c>
      <c r="I40" s="16" t="s">
        <v>267</v>
      </c>
      <c r="J40" s="21">
        <v>46073</v>
      </c>
      <c r="K40" s="21">
        <v>46076</v>
      </c>
      <c r="L40" s="19" t="str">
        <f>CONCATENATE(NETWORKDAYS(Consumo_Mensal!$J40, Consumo_Mensal!$K40)-1, " dia")</f>
        <v>1 dia</v>
      </c>
      <c r="M40" s="23">
        <f>IFERROR(Consumo_Mensal!$F40*VLOOKUP(Consumo_Mensal!$E40,TBEstoque[[DESCRIÇÃO]:[VALOR UNIT. (R$)]],7,0), 0)</f>
        <v>252.99999999999997</v>
      </c>
    </row>
    <row r="41" spans="2:13" ht="16.8" hidden="1">
      <c r="B41" s="20" t="str">
        <f>"PED-" &amp; Consumo_Mensal!$H41 &amp; "-" &amp; TEXT(Consumo_Mensal!$J41, "ddmmaa")</f>
        <v>PED-Farmácia Satélite - Unidade 02-200226</v>
      </c>
      <c r="C41" s="17">
        <v>20815</v>
      </c>
      <c r="D41" s="20" t="s">
        <v>8</v>
      </c>
      <c r="E41" s="20" t="s">
        <v>10</v>
      </c>
      <c r="F41" s="20">
        <v>1</v>
      </c>
      <c r="G41" s="20" t="s">
        <v>186</v>
      </c>
      <c r="H41" s="16" t="s">
        <v>256</v>
      </c>
      <c r="I41" s="16" t="s">
        <v>267</v>
      </c>
      <c r="J41" s="21">
        <v>46073</v>
      </c>
      <c r="K41" s="21">
        <v>46076</v>
      </c>
      <c r="L41" s="19" t="str">
        <f>CONCATENATE(NETWORKDAYS(Consumo_Mensal!$J41, Consumo_Mensal!$K41)-1, " dia")</f>
        <v>1 dia</v>
      </c>
      <c r="M41" s="23">
        <f>IFERROR(Consumo_Mensal!$F41*VLOOKUP(Consumo_Mensal!$E41,TBEstoque[[DESCRIÇÃO]:[VALOR UNIT. (R$)]],7,0), 0)</f>
        <v>97.749999999999986</v>
      </c>
    </row>
    <row r="42" spans="2:13" ht="16.8" hidden="1">
      <c r="B42" s="16" t="str">
        <f>"PED-" &amp; Consumo_Mensal!$H42 &amp; "-" &amp; TEXT(Consumo_Mensal!$J42, "ddmmaa")</f>
        <v>PED-CD Logística - Regional ABC-230226</v>
      </c>
      <c r="C42" s="17">
        <v>20817</v>
      </c>
      <c r="D42" s="16" t="s">
        <v>8</v>
      </c>
      <c r="E42" s="16" t="s">
        <v>9</v>
      </c>
      <c r="F42" s="16">
        <v>4</v>
      </c>
      <c r="G42" s="16" t="s">
        <v>191</v>
      </c>
      <c r="H42" s="16" t="s">
        <v>255</v>
      </c>
      <c r="I42" s="16" t="s">
        <v>265</v>
      </c>
      <c r="J42" s="18">
        <v>46076</v>
      </c>
      <c r="K42" s="18">
        <v>46076</v>
      </c>
      <c r="L42" s="19" t="str">
        <f>CONCATENATE(NETWORKDAYS(Consumo_Mensal!$J42, Consumo_Mensal!$K42)-1, " dia")</f>
        <v>0 dia</v>
      </c>
      <c r="M42" s="23">
        <f>IFERROR(Consumo_Mensal!$F42*VLOOKUP(Consumo_Mensal!$E42,TBEstoque[[DESCRIÇÃO]:[VALOR UNIT. (R$)]],7,0), 0)</f>
        <v>252.99999999999997</v>
      </c>
    </row>
    <row r="43" spans="2:13" ht="16.8" hidden="1">
      <c r="B43" s="16" t="str">
        <f>"PED-" &amp; Consumo_Mensal!$H43 &amp; "-" &amp; TEXT(Consumo_Mensal!$J43, "ddmmaa")</f>
        <v>PED-CD Logística - Regional ABC-230226</v>
      </c>
      <c r="C43" s="17">
        <v>20821</v>
      </c>
      <c r="D43" s="16" t="s">
        <v>8</v>
      </c>
      <c r="E43" s="16" t="s">
        <v>11</v>
      </c>
      <c r="F43" s="16">
        <v>4</v>
      </c>
      <c r="G43" s="16" t="s">
        <v>191</v>
      </c>
      <c r="H43" s="16" t="s">
        <v>255</v>
      </c>
      <c r="I43" s="16" t="s">
        <v>265</v>
      </c>
      <c r="J43" s="18">
        <v>46076</v>
      </c>
      <c r="K43" s="18">
        <v>46076</v>
      </c>
      <c r="L43" s="19" t="str">
        <f>CONCATENATE(NETWORKDAYS(Consumo_Mensal!$J43, Consumo_Mensal!$K43)-1, " dia")</f>
        <v>0 dia</v>
      </c>
      <c r="M43" s="23">
        <f>IFERROR(Consumo_Mensal!$F43*VLOOKUP(Consumo_Mensal!$E43,TBEstoque[[DESCRIÇÃO]:[VALOR UNIT. (R$)]],7,0), 0)</f>
        <v>110.39999999999999</v>
      </c>
    </row>
    <row r="44" spans="2:13" ht="16.8" hidden="1">
      <c r="B44" s="16" t="str">
        <f>"PED-" &amp; Consumo_Mensal!$H44 &amp; "-" &amp; TEXT(Consumo_Mensal!$J44, "ddmmaa")</f>
        <v>PED-CD Logística - Regional ABC-230226</v>
      </c>
      <c r="C44" s="17">
        <v>20815</v>
      </c>
      <c r="D44" s="16" t="s">
        <v>8</v>
      </c>
      <c r="E44" s="16" t="s">
        <v>10</v>
      </c>
      <c r="F44" s="16">
        <v>1</v>
      </c>
      <c r="G44" s="16" t="s">
        <v>191</v>
      </c>
      <c r="H44" s="16" t="s">
        <v>255</v>
      </c>
      <c r="I44" s="16" t="s">
        <v>265</v>
      </c>
      <c r="J44" s="18">
        <v>46076</v>
      </c>
      <c r="K44" s="18">
        <v>46076</v>
      </c>
      <c r="L44" s="19" t="str">
        <f>CONCATENATE(NETWORKDAYS(Consumo_Mensal!$J44, Consumo_Mensal!$K44)-1, " dia")</f>
        <v>0 dia</v>
      </c>
      <c r="M44" s="23">
        <f>IFERROR(Consumo_Mensal!$F44*VLOOKUP(Consumo_Mensal!$E44,TBEstoque[[DESCRIÇÃO]:[VALOR UNIT. (R$)]],7,0), 0)</f>
        <v>97.749999999999986</v>
      </c>
    </row>
    <row r="45" spans="2:13" ht="16.8" hidden="1">
      <c r="B45" s="16" t="str">
        <f>"PED-" &amp; Consumo_Mensal!$H45 &amp; "-" &amp; TEXT(Consumo_Mensal!$J45, "ddmmaa")</f>
        <v>PED-Farmácia Principal - Unidade 01-230226</v>
      </c>
      <c r="C45" s="17">
        <v>20817</v>
      </c>
      <c r="D45" s="16" t="s">
        <v>8</v>
      </c>
      <c r="E45" s="16" t="s">
        <v>9</v>
      </c>
      <c r="F45" s="16">
        <v>5</v>
      </c>
      <c r="G45" s="16" t="s">
        <v>191</v>
      </c>
      <c r="H45" s="16" t="s">
        <v>263</v>
      </c>
      <c r="I45" s="16" t="s">
        <v>266</v>
      </c>
      <c r="J45" s="18">
        <v>46076</v>
      </c>
      <c r="K45" s="18">
        <v>46076</v>
      </c>
      <c r="L45" s="19" t="str">
        <f>CONCATENATE(NETWORKDAYS(Consumo_Mensal!$J45, Consumo_Mensal!$K45)-1, " dia")</f>
        <v>0 dia</v>
      </c>
      <c r="M45" s="23">
        <f>IFERROR(Consumo_Mensal!$F45*VLOOKUP(Consumo_Mensal!$E45,TBEstoque[[DESCRIÇÃO]:[VALOR UNIT. (R$)]],7,0), 0)</f>
        <v>316.24999999999994</v>
      </c>
    </row>
    <row r="46" spans="2:13" ht="16.8" hidden="1">
      <c r="B46" s="16" t="str">
        <f>"PED-" &amp; Consumo_Mensal!$H46 &amp; "-" &amp; TEXT(Consumo_Mensal!$J46, "ddmmaa")</f>
        <v>PED-Farmácia Principal - Unidade 01-230226</v>
      </c>
      <c r="C46" s="17">
        <v>20819</v>
      </c>
      <c r="D46" s="16" t="s">
        <v>8</v>
      </c>
      <c r="E46" s="16" t="s">
        <v>16</v>
      </c>
      <c r="F46" s="16">
        <v>5</v>
      </c>
      <c r="G46" s="16" t="s">
        <v>191</v>
      </c>
      <c r="H46" s="16" t="s">
        <v>263</v>
      </c>
      <c r="I46" s="16" t="s">
        <v>266</v>
      </c>
      <c r="J46" s="18">
        <v>46076</v>
      </c>
      <c r="K46" s="18">
        <v>46076</v>
      </c>
      <c r="L46" s="19" t="str">
        <f>CONCATENATE(NETWORKDAYS(Consumo_Mensal!$J46, Consumo_Mensal!$K46)-1, " dia")</f>
        <v>0 dia</v>
      </c>
      <c r="M46" s="23">
        <f>IFERROR(Consumo_Mensal!$F46*VLOOKUP(Consumo_Mensal!$E46,TBEstoque[[DESCRIÇÃO]:[VALOR UNIT. (R$)]],7,0), 0)</f>
        <v>50.197500000000005</v>
      </c>
    </row>
    <row r="47" spans="2:13" ht="16.8" hidden="1">
      <c r="B47" s="16" t="str">
        <f>"PED-" &amp; Consumo_Mensal!$H47 &amp; "-" &amp; TEXT(Consumo_Mensal!$J47, "ddmmaa")</f>
        <v>PED-Farmácia Principal - Unidade 01-230226</v>
      </c>
      <c r="C47" s="17">
        <v>20821</v>
      </c>
      <c r="D47" s="16" t="s">
        <v>8</v>
      </c>
      <c r="E47" s="16" t="s">
        <v>11</v>
      </c>
      <c r="F47" s="16">
        <v>5</v>
      </c>
      <c r="G47" s="16" t="s">
        <v>191</v>
      </c>
      <c r="H47" s="16" t="s">
        <v>263</v>
      </c>
      <c r="I47" s="16" t="s">
        <v>266</v>
      </c>
      <c r="J47" s="18">
        <v>46076</v>
      </c>
      <c r="K47" s="18">
        <v>46076</v>
      </c>
      <c r="L47" s="19" t="str">
        <f>CONCATENATE(NETWORKDAYS(Consumo_Mensal!$J47, Consumo_Mensal!$K47)-1, " dia")</f>
        <v>0 dia</v>
      </c>
      <c r="M47" s="23">
        <f>IFERROR(Consumo_Mensal!$F47*VLOOKUP(Consumo_Mensal!$E47,TBEstoque[[DESCRIÇÃO]:[VALOR UNIT. (R$)]],7,0), 0)</f>
        <v>138</v>
      </c>
    </row>
    <row r="48" spans="2:13" ht="16.8" hidden="1">
      <c r="B48" s="20" t="str">
        <f>"PED-" &amp; Consumo_Mensal!$H48 &amp; "-" &amp; TEXT(Consumo_Mensal!$J48, "ddmmaa")</f>
        <v>PED-Escritório Central - Sede-230226</v>
      </c>
      <c r="C48" s="17">
        <v>20815</v>
      </c>
      <c r="D48" s="20" t="s">
        <v>8</v>
      </c>
      <c r="E48" s="20" t="s">
        <v>10</v>
      </c>
      <c r="F48" s="20">
        <v>5</v>
      </c>
      <c r="G48" s="20" t="s">
        <v>186</v>
      </c>
      <c r="H48" s="16" t="s">
        <v>260</v>
      </c>
      <c r="I48" s="16" t="s">
        <v>271</v>
      </c>
      <c r="J48" s="21">
        <v>46076</v>
      </c>
      <c r="K48" s="18">
        <v>46076</v>
      </c>
      <c r="L48" s="19" t="str">
        <f>CONCATENATE(NETWORKDAYS(Consumo_Mensal!$J48, Consumo_Mensal!$K48)-1, " dia")</f>
        <v>0 dia</v>
      </c>
      <c r="M48" s="23">
        <f>IFERROR(Consumo_Mensal!$F48*VLOOKUP(Consumo_Mensal!$E48,TBEstoque[[DESCRIÇÃO]:[VALOR UNIT. (R$)]],7,0), 0)</f>
        <v>488.74999999999994</v>
      </c>
    </row>
    <row r="49" spans="2:13" ht="16.8" hidden="1">
      <c r="B49" s="20" t="str">
        <f>"PED-" &amp; Consumo_Mensal!$H49 &amp; "-" &amp; TEXT(Consumo_Mensal!$J49, "ddmmaa")</f>
        <v>PED-Escritório Central - Sede-230226</v>
      </c>
      <c r="C49" s="17">
        <v>20816</v>
      </c>
      <c r="D49" s="20" t="s">
        <v>8</v>
      </c>
      <c r="E49" s="20" t="s">
        <v>49</v>
      </c>
      <c r="F49" s="20">
        <v>3</v>
      </c>
      <c r="G49" s="20" t="s">
        <v>186</v>
      </c>
      <c r="H49" s="16" t="s">
        <v>260</v>
      </c>
      <c r="I49" s="16" t="s">
        <v>271</v>
      </c>
      <c r="J49" s="21">
        <v>46076</v>
      </c>
      <c r="K49" s="18">
        <v>46076</v>
      </c>
      <c r="L49" s="19" t="str">
        <f>CONCATENATE(NETWORKDAYS(Consumo_Mensal!$J49, Consumo_Mensal!$K49)-1, " dia")</f>
        <v>0 dia</v>
      </c>
      <c r="M49" s="23">
        <f>IFERROR(Consumo_Mensal!$F49*VLOOKUP(Consumo_Mensal!$E49,TBEstoque[[DESCRIÇÃO]:[VALOR UNIT. (R$)]],7,0), 0)</f>
        <v>154.90499999999997</v>
      </c>
    </row>
    <row r="50" spans="2:13" ht="16.8" hidden="1">
      <c r="B50" s="20" t="str">
        <f>"PED-" &amp; Consumo_Mensal!$H50 &amp; "-" &amp; TEXT(Consumo_Mensal!$J50, "ddmmaa")</f>
        <v>PED-Escritório Central - Sede-230226</v>
      </c>
      <c r="C50" s="17">
        <v>20821</v>
      </c>
      <c r="D50" s="20" t="s">
        <v>8</v>
      </c>
      <c r="E50" s="20" t="s">
        <v>11</v>
      </c>
      <c r="F50" s="20">
        <v>6</v>
      </c>
      <c r="G50" s="20" t="s">
        <v>186</v>
      </c>
      <c r="H50" s="16" t="s">
        <v>260</v>
      </c>
      <c r="I50" s="16" t="s">
        <v>271</v>
      </c>
      <c r="J50" s="21">
        <v>46076</v>
      </c>
      <c r="K50" s="18">
        <v>46076</v>
      </c>
      <c r="L50" s="19" t="str">
        <f>CONCATENATE(NETWORKDAYS(Consumo_Mensal!$J50, Consumo_Mensal!$K50)-1, " dia")</f>
        <v>0 dia</v>
      </c>
      <c r="M50" s="23">
        <f>IFERROR(Consumo_Mensal!$F50*VLOOKUP(Consumo_Mensal!$E50,TBEstoque[[DESCRIÇÃO]:[VALOR UNIT. (R$)]],7,0), 0)</f>
        <v>165.6</v>
      </c>
    </row>
    <row r="51" spans="2:13" ht="16.8" hidden="1">
      <c r="B51" s="20" t="str">
        <f>"PED-" &amp; Consumo_Mensal!$H51 &amp; "-" &amp; TEXT(Consumo_Mensal!$J51, "ddmmaa")</f>
        <v>PED-Escritório Central - Sede-230226</v>
      </c>
      <c r="C51" s="17">
        <v>20817</v>
      </c>
      <c r="D51" s="20" t="s">
        <v>8</v>
      </c>
      <c r="E51" s="20" t="s">
        <v>9</v>
      </c>
      <c r="F51" s="20">
        <v>2</v>
      </c>
      <c r="G51" s="20" t="s">
        <v>186</v>
      </c>
      <c r="H51" s="16" t="s">
        <v>260</v>
      </c>
      <c r="I51" s="16" t="s">
        <v>271</v>
      </c>
      <c r="J51" s="21">
        <v>46076</v>
      </c>
      <c r="K51" s="18">
        <v>46076</v>
      </c>
      <c r="L51" s="19" t="str">
        <f>CONCATENATE(NETWORKDAYS(Consumo_Mensal!$J51, Consumo_Mensal!$K51)-1, " dia")</f>
        <v>0 dia</v>
      </c>
      <c r="M51" s="23">
        <f>IFERROR(Consumo_Mensal!$F51*VLOOKUP(Consumo_Mensal!$E51,TBEstoque[[DESCRIÇÃO]:[VALOR UNIT. (R$)]],7,0), 0)</f>
        <v>126.49999999999999</v>
      </c>
    </row>
    <row r="52" spans="2:13" ht="16.8" hidden="1">
      <c r="B52" s="16" t="str">
        <f>"PED-" &amp; Consumo_Mensal!$H52 &amp; "-" &amp; TEXT(Consumo_Mensal!$J52, "ddmmaa")</f>
        <v>PED-Almoxarifado Central-260226</v>
      </c>
      <c r="C52" s="17">
        <v>20817</v>
      </c>
      <c r="D52" s="16" t="s">
        <v>8</v>
      </c>
      <c r="E52" s="16" t="s">
        <v>9</v>
      </c>
      <c r="F52" s="16">
        <v>4</v>
      </c>
      <c r="G52" s="16" t="s">
        <v>191</v>
      </c>
      <c r="H52" s="16" t="s">
        <v>264</v>
      </c>
      <c r="I52" s="16" t="s">
        <v>273</v>
      </c>
      <c r="J52" s="18">
        <v>46079</v>
      </c>
      <c r="K52" s="18">
        <v>46079</v>
      </c>
      <c r="L52" s="19" t="str">
        <f>CONCATENATE(NETWORKDAYS(Consumo_Mensal!$J52, Consumo_Mensal!$K52)-1, " dia")</f>
        <v>0 dia</v>
      </c>
      <c r="M52" s="23">
        <f>IFERROR(Consumo_Mensal!$F52*VLOOKUP(Consumo_Mensal!$E52,TBEstoque[[DESCRIÇÃO]:[VALOR UNIT. (R$)]],7,0), 0)</f>
        <v>252.99999999999997</v>
      </c>
    </row>
    <row r="53" spans="2:13" ht="16.8">
      <c r="B53" s="16" t="str">
        <f>"PED-" &amp; Consumo_Mensal!$H53 &amp; "-" &amp; TEXT(Consumo_Mensal!$J53, "ddmmaa")</f>
        <v>PED-Planta Industrial - Suprimentos-270226</v>
      </c>
      <c r="C53" s="17">
        <v>20815</v>
      </c>
      <c r="D53" s="16" t="s">
        <v>8</v>
      </c>
      <c r="E53" s="16" t="s">
        <v>10</v>
      </c>
      <c r="F53" s="16">
        <v>10</v>
      </c>
      <c r="G53" s="16" t="s">
        <v>191</v>
      </c>
      <c r="H53" s="16" t="s">
        <v>258</v>
      </c>
      <c r="I53" s="16" t="s">
        <v>269</v>
      </c>
      <c r="J53" s="18">
        <v>46080</v>
      </c>
      <c r="K53" s="18">
        <v>46083</v>
      </c>
      <c r="L53" s="19" t="str">
        <f>CONCATENATE(NETWORKDAYS(Consumo_Mensal!$J53, Consumo_Mensal!$K53)-1, " dia")</f>
        <v>1 dia</v>
      </c>
      <c r="M53" s="23">
        <f>IFERROR(Consumo_Mensal!$F53*VLOOKUP(Consumo_Mensal!$E53,TBEstoque[[DESCRIÇÃO]:[VALOR UNIT. (R$)]],7,0), 0)</f>
        <v>977.49999999999989</v>
      </c>
    </row>
    <row r="54" spans="2:13" ht="16.8" hidden="1">
      <c r="B54" s="16" t="str">
        <f>"PED-" &amp; Consumo_Mensal!$H54 &amp; "-" &amp; TEXT(Consumo_Mensal!$J54, "ddmmaa")</f>
        <v>PED-Farmácia Principal - Unidade 01-020326</v>
      </c>
      <c r="C54" s="20">
        <v>20814</v>
      </c>
      <c r="D54" s="16" t="s">
        <v>8</v>
      </c>
      <c r="E54" s="20" t="s">
        <v>15</v>
      </c>
      <c r="F54" s="16">
        <v>2</v>
      </c>
      <c r="G54" s="20" t="s">
        <v>186</v>
      </c>
      <c r="H54" s="16" t="s">
        <v>263</v>
      </c>
      <c r="I54" s="16" t="s">
        <v>266</v>
      </c>
      <c r="J54" s="18">
        <v>46083</v>
      </c>
      <c r="K54" s="18">
        <v>46083</v>
      </c>
      <c r="L54" s="19" t="str">
        <f>CONCATENATE(NETWORKDAYS(Consumo_Mensal!$J54, Consumo_Mensal!$K54)-1, " dia")</f>
        <v>0 dia</v>
      </c>
      <c r="M54" s="23">
        <f>IFERROR(Consumo_Mensal!$F54*VLOOKUP(Consumo_Mensal!$E54,TBEstoque[[DESCRIÇÃO]:[VALOR UNIT. (R$)]],7,0), 0)</f>
        <v>13.638999999999998</v>
      </c>
    </row>
    <row r="55" spans="2:13" ht="16.8" hidden="1">
      <c r="B55" s="16" t="str">
        <f>"PED-" &amp; Consumo_Mensal!$H55 &amp; "-" &amp; TEXT(Consumo_Mensal!$J55, "ddmmaa")</f>
        <v>PED-Farmácia Principal - Unidade 01-020326</v>
      </c>
      <c r="C55" s="17">
        <v>20819</v>
      </c>
      <c r="D55" s="16" t="s">
        <v>8</v>
      </c>
      <c r="E55" s="16" t="s">
        <v>16</v>
      </c>
      <c r="F55" s="16">
        <v>2</v>
      </c>
      <c r="G55" s="16" t="s">
        <v>191</v>
      </c>
      <c r="H55" s="16" t="s">
        <v>263</v>
      </c>
      <c r="I55" s="16" t="s">
        <v>266</v>
      </c>
      <c r="J55" s="18">
        <v>46083</v>
      </c>
      <c r="K55" s="18">
        <v>46083</v>
      </c>
      <c r="L55" s="19" t="str">
        <f>CONCATENATE(NETWORKDAYS(Consumo_Mensal!$J55, Consumo_Mensal!$K55)-1, " dia")</f>
        <v>0 dia</v>
      </c>
      <c r="M55" s="23">
        <f>IFERROR(Consumo_Mensal!$F55*VLOOKUP(Consumo_Mensal!$E55,TBEstoque[[DESCRIÇÃO]:[VALOR UNIT. (R$)]],7,0), 0)</f>
        <v>20.079000000000001</v>
      </c>
    </row>
    <row r="56" spans="2:13" ht="16.8" hidden="1">
      <c r="B56" s="20" t="str">
        <f>"PED-" &amp; Consumo_Mensal!$H56 &amp; "-" &amp; TEXT(Consumo_Mensal!$J56, "ddmmaa")</f>
        <v>PED-Escritório Central - Sede-020326</v>
      </c>
      <c r="C56" s="17">
        <v>20815</v>
      </c>
      <c r="D56" s="20" t="s">
        <v>8</v>
      </c>
      <c r="E56" s="20" t="s">
        <v>10</v>
      </c>
      <c r="F56" s="20">
        <v>3</v>
      </c>
      <c r="G56" s="20" t="s">
        <v>186</v>
      </c>
      <c r="H56" s="16" t="s">
        <v>260</v>
      </c>
      <c r="I56" s="16" t="s">
        <v>271</v>
      </c>
      <c r="J56" s="21">
        <v>46083</v>
      </c>
      <c r="K56" s="18">
        <v>46083</v>
      </c>
      <c r="L56" s="19" t="str">
        <f>CONCATENATE(NETWORKDAYS(Consumo_Mensal!$J56, Consumo_Mensal!$K56)-1, " dia")</f>
        <v>0 dia</v>
      </c>
      <c r="M56" s="23">
        <f>IFERROR(Consumo_Mensal!$F56*VLOOKUP(Consumo_Mensal!$E56,TBEstoque[[DESCRIÇÃO]:[VALOR UNIT. (R$)]],7,0), 0)</f>
        <v>293.24999999999994</v>
      </c>
    </row>
    <row r="57" spans="2:13" ht="16.8" hidden="1">
      <c r="B57" s="20" t="str">
        <f>"PED-" &amp; Consumo_Mensal!$H57 &amp; "-" &amp; TEXT(Consumo_Mensal!$J57, "ddmmaa")</f>
        <v>PED-Escritório Central - Sede-020326</v>
      </c>
      <c r="C57" s="17">
        <v>20816</v>
      </c>
      <c r="D57" s="20" t="s">
        <v>8</v>
      </c>
      <c r="E57" s="20" t="s">
        <v>49</v>
      </c>
      <c r="F57" s="20">
        <v>1</v>
      </c>
      <c r="G57" s="20" t="s">
        <v>186</v>
      </c>
      <c r="H57" s="16" t="s">
        <v>260</v>
      </c>
      <c r="I57" s="16" t="s">
        <v>271</v>
      </c>
      <c r="J57" s="21">
        <v>46083</v>
      </c>
      <c r="K57" s="18">
        <v>46083</v>
      </c>
      <c r="L57" s="19" t="str">
        <f>CONCATENATE(NETWORKDAYS(Consumo_Mensal!$J57, Consumo_Mensal!$K57)-1, " dia")</f>
        <v>0 dia</v>
      </c>
      <c r="M57" s="23">
        <f>IFERROR(Consumo_Mensal!$F57*VLOOKUP(Consumo_Mensal!$E57,TBEstoque[[DESCRIÇÃO]:[VALOR UNIT. (R$)]],7,0), 0)</f>
        <v>51.634999999999991</v>
      </c>
    </row>
    <row r="58" spans="2:13" ht="16.8" hidden="1">
      <c r="B58" s="20" t="str">
        <f>"PED-" &amp; Consumo_Mensal!$H58 &amp; "-" &amp; TEXT(Consumo_Mensal!$J58, "ddmmaa")</f>
        <v>PED-Escritório Central - Sede-020326</v>
      </c>
      <c r="C58" s="17">
        <v>20821</v>
      </c>
      <c r="D58" s="20" t="s">
        <v>8</v>
      </c>
      <c r="E58" s="20" t="s">
        <v>11</v>
      </c>
      <c r="F58" s="20">
        <v>5</v>
      </c>
      <c r="G58" s="20" t="s">
        <v>186</v>
      </c>
      <c r="H58" s="16" t="s">
        <v>260</v>
      </c>
      <c r="I58" s="16" t="s">
        <v>271</v>
      </c>
      <c r="J58" s="21">
        <v>46083</v>
      </c>
      <c r="K58" s="18">
        <v>46083</v>
      </c>
      <c r="L58" s="19" t="str">
        <f>CONCATENATE(NETWORKDAYS(Consumo_Mensal!$J58, Consumo_Mensal!$K58)-1, " dia")</f>
        <v>0 dia</v>
      </c>
      <c r="M58" s="23">
        <f>IFERROR(Consumo_Mensal!$F58*VLOOKUP(Consumo_Mensal!$E58,TBEstoque[[DESCRIÇÃO]:[VALOR UNIT. (R$)]],7,0), 0)</f>
        <v>138</v>
      </c>
    </row>
    <row r="59" spans="2:13" ht="16.8" hidden="1">
      <c r="B59" s="20" t="str">
        <f>"PED-" &amp; Consumo_Mensal!$H59 &amp; "-" &amp; TEXT(Consumo_Mensal!$J59, "ddmmaa")</f>
        <v>PED-Farmácia Satélite - Unidade 03-020326</v>
      </c>
      <c r="C59" s="17">
        <v>20819</v>
      </c>
      <c r="D59" s="20" t="s">
        <v>8</v>
      </c>
      <c r="E59" s="20" t="s">
        <v>16</v>
      </c>
      <c r="F59" s="20">
        <v>2</v>
      </c>
      <c r="G59" s="16" t="s">
        <v>191</v>
      </c>
      <c r="H59" s="16" t="s">
        <v>257</v>
      </c>
      <c r="I59" s="16" t="s">
        <v>285</v>
      </c>
      <c r="J59" s="21">
        <v>46083</v>
      </c>
      <c r="K59" s="21">
        <v>46084</v>
      </c>
      <c r="L59" s="19" t="str">
        <f>CONCATENATE(NETWORKDAYS(Consumo_Mensal!$J59, Consumo_Mensal!$K59)-1, " dia")</f>
        <v>1 dia</v>
      </c>
      <c r="M59" s="23">
        <f>IFERROR(Consumo_Mensal!$F59*VLOOKUP(Consumo_Mensal!$E59,TBEstoque[[DESCRIÇÃO]:[VALOR UNIT. (R$)]],7,0), 0)</f>
        <v>20.079000000000001</v>
      </c>
    </row>
    <row r="60" spans="2:13" ht="16.8" hidden="1">
      <c r="B60" s="20" t="str">
        <f>"PED-" &amp; Consumo_Mensal!$H60 &amp; "-" &amp; TEXT(Consumo_Mensal!$J60, "ddmmaa")</f>
        <v>PED-Farmácia Satélite - Unidade 03-020326</v>
      </c>
      <c r="C60" s="17">
        <v>20815</v>
      </c>
      <c r="D60" s="20" t="s">
        <v>8</v>
      </c>
      <c r="E60" s="20" t="s">
        <v>10</v>
      </c>
      <c r="F60" s="20">
        <v>2</v>
      </c>
      <c r="G60" s="20" t="s">
        <v>186</v>
      </c>
      <c r="H60" s="16" t="s">
        <v>257</v>
      </c>
      <c r="I60" s="16" t="s">
        <v>285</v>
      </c>
      <c r="J60" s="21">
        <v>46083</v>
      </c>
      <c r="K60" s="21">
        <v>46084</v>
      </c>
      <c r="L60" s="19" t="str">
        <f>CONCATENATE(NETWORKDAYS(Consumo_Mensal!$J60, Consumo_Mensal!$K60)-1, " dia")</f>
        <v>1 dia</v>
      </c>
      <c r="M60" s="23">
        <f>IFERROR(Consumo_Mensal!$F60*VLOOKUP(Consumo_Mensal!$E60,TBEstoque[[DESCRIÇÃO]:[VALOR UNIT. (R$)]],7,0), 0)</f>
        <v>195.49999999999997</v>
      </c>
    </row>
    <row r="61" spans="2:13" ht="16.8" hidden="1">
      <c r="B61" s="20" t="str">
        <f>"PED-" &amp; Consumo_Mensal!$H61 &amp; "-" &amp; TEXT(Consumo_Mensal!$J61, "ddmmaa")</f>
        <v>PED-Farmácia Satélite - Unidade 03-020326</v>
      </c>
      <c r="C61" s="17">
        <v>20817</v>
      </c>
      <c r="D61" s="20" t="s">
        <v>8</v>
      </c>
      <c r="E61" s="20" t="s">
        <v>9</v>
      </c>
      <c r="F61" s="20">
        <v>2</v>
      </c>
      <c r="G61" s="20" t="s">
        <v>186</v>
      </c>
      <c r="H61" s="16" t="s">
        <v>257</v>
      </c>
      <c r="I61" s="16" t="s">
        <v>285</v>
      </c>
      <c r="J61" s="21">
        <v>46083</v>
      </c>
      <c r="K61" s="21">
        <v>46084</v>
      </c>
      <c r="L61" s="19" t="str">
        <f>CONCATENATE(NETWORKDAYS(Consumo_Mensal!$J61, Consumo_Mensal!$K61)-1, " dia")</f>
        <v>1 dia</v>
      </c>
      <c r="M61" s="23">
        <f>IFERROR(Consumo_Mensal!$F61*VLOOKUP(Consumo_Mensal!$E61,TBEstoque[[DESCRIÇÃO]:[VALOR UNIT. (R$)]],7,0), 0)</f>
        <v>126.49999999999999</v>
      </c>
    </row>
    <row r="62" spans="2:13" ht="16.8" hidden="1">
      <c r="B62" s="20" t="str">
        <f>"PED-" &amp; Consumo_Mensal!$H62 &amp; "-" &amp; TEXT(Consumo_Mensal!$J62, "ddmmaa")</f>
        <v>PED-Farmácia Satélite - Unidade 03-020326</v>
      </c>
      <c r="C62" s="17">
        <v>20821</v>
      </c>
      <c r="D62" s="20" t="s">
        <v>8</v>
      </c>
      <c r="E62" s="20" t="s">
        <v>11</v>
      </c>
      <c r="F62" s="20">
        <v>2</v>
      </c>
      <c r="G62" s="20" t="s">
        <v>186</v>
      </c>
      <c r="H62" s="16" t="s">
        <v>257</v>
      </c>
      <c r="I62" s="16" t="s">
        <v>285</v>
      </c>
      <c r="J62" s="21">
        <v>46083</v>
      </c>
      <c r="K62" s="21">
        <v>46084</v>
      </c>
      <c r="L62" s="19" t="str">
        <f>CONCATENATE(NETWORKDAYS(Consumo_Mensal!$J62, Consumo_Mensal!$K62)-1, " dia")</f>
        <v>1 dia</v>
      </c>
      <c r="M62" s="23">
        <f>IFERROR(Consumo_Mensal!$F62*VLOOKUP(Consumo_Mensal!$E62,TBEstoque[[DESCRIÇÃO]:[VALOR UNIT. (R$)]],7,0), 0)</f>
        <v>55.199999999999996</v>
      </c>
    </row>
    <row r="63" spans="2:13" ht="16.8" hidden="1">
      <c r="B63" s="16" t="str">
        <f>"PED-" &amp; Consumo_Mensal!$H63 &amp; "-" &amp; TEXT(Consumo_Mensal!$J63, "ddmmaa")</f>
        <v>PED-CD Logística - Regional ABC-030326</v>
      </c>
      <c r="C63" s="17">
        <v>20817</v>
      </c>
      <c r="D63" s="16" t="s">
        <v>8</v>
      </c>
      <c r="E63" s="16" t="s">
        <v>9</v>
      </c>
      <c r="F63" s="16">
        <v>4</v>
      </c>
      <c r="G63" s="16" t="s">
        <v>191</v>
      </c>
      <c r="H63" s="16" t="s">
        <v>255</v>
      </c>
      <c r="I63" s="16" t="s">
        <v>265</v>
      </c>
      <c r="J63" s="18">
        <v>46084</v>
      </c>
      <c r="K63" s="18">
        <v>46085</v>
      </c>
      <c r="L63" s="19" t="str">
        <f>CONCATENATE(NETWORKDAYS(Consumo_Mensal!$J63, Consumo_Mensal!$K63)-1, " dia")</f>
        <v>1 dia</v>
      </c>
      <c r="M63" s="23">
        <f>IFERROR(Consumo_Mensal!$F63*VLOOKUP(Consumo_Mensal!$E63,TBEstoque[[DESCRIÇÃO]:[VALOR UNIT. (R$)]],7,0), 0)</f>
        <v>252.99999999999997</v>
      </c>
    </row>
    <row r="64" spans="2:13" ht="16.8" hidden="1">
      <c r="B64" s="16" t="str">
        <f>"PED-" &amp; Consumo_Mensal!$H64 &amp; "-" &amp; TEXT(Consumo_Mensal!$J64, "ddmmaa")</f>
        <v>PED-CD Logística - Regional ABC-030326</v>
      </c>
      <c r="C64" s="17">
        <v>20821</v>
      </c>
      <c r="D64" s="16" t="s">
        <v>8</v>
      </c>
      <c r="E64" s="16" t="s">
        <v>11</v>
      </c>
      <c r="F64" s="16">
        <v>4</v>
      </c>
      <c r="G64" s="16" t="s">
        <v>191</v>
      </c>
      <c r="H64" s="16" t="s">
        <v>255</v>
      </c>
      <c r="I64" s="16" t="s">
        <v>265</v>
      </c>
      <c r="J64" s="18">
        <v>46084</v>
      </c>
      <c r="K64" s="18">
        <v>46085</v>
      </c>
      <c r="L64" s="19" t="str">
        <f>CONCATENATE(NETWORKDAYS(Consumo_Mensal!$J64, Consumo_Mensal!$K64)-1, " dia")</f>
        <v>1 dia</v>
      </c>
      <c r="M64" s="23">
        <f>IFERROR(Consumo_Mensal!$F64*VLOOKUP(Consumo_Mensal!$E64,TBEstoque[[DESCRIÇÃO]:[VALOR UNIT. (R$)]],7,0), 0)</f>
        <v>110.39999999999999</v>
      </c>
    </row>
    <row r="65" spans="2:13" ht="16.8" hidden="1">
      <c r="B65" s="16" t="str">
        <f>"PED-" &amp; Consumo_Mensal!$H65 &amp; "-" &amp; TEXT(Consumo_Mensal!$J65, "ddmmaa")</f>
        <v>PED-CD Logística - Regional ABC-030326</v>
      </c>
      <c r="C65" s="17">
        <v>20815</v>
      </c>
      <c r="D65" s="16" t="s">
        <v>8</v>
      </c>
      <c r="E65" s="16" t="s">
        <v>10</v>
      </c>
      <c r="F65" s="16">
        <v>2</v>
      </c>
      <c r="G65" s="16" t="s">
        <v>191</v>
      </c>
      <c r="H65" s="16" t="s">
        <v>255</v>
      </c>
      <c r="I65" s="16" t="s">
        <v>265</v>
      </c>
      <c r="J65" s="18">
        <v>46084</v>
      </c>
      <c r="K65" s="18">
        <v>46085</v>
      </c>
      <c r="L65" s="19" t="str">
        <f>CONCATENATE(NETWORKDAYS(Consumo_Mensal!$J65, Consumo_Mensal!$K65)-1, " dia")</f>
        <v>1 dia</v>
      </c>
      <c r="M65" s="23">
        <f>IFERROR(Consumo_Mensal!$F65*VLOOKUP(Consumo_Mensal!$E65,TBEstoque[[DESCRIÇÃO]:[VALOR UNIT. (R$)]],7,0), 0)</f>
        <v>195.49999999999997</v>
      </c>
    </row>
    <row r="66" spans="2:13" ht="16.8" hidden="1">
      <c r="B66" s="16" t="str">
        <f>"PED-" &amp; Consumo_Mensal!$H66 &amp; "-" &amp; TEXT(Consumo_Mensal!$J66, "ddmmaa")</f>
        <v>PED-CD Logística - Regional ABC-030326</v>
      </c>
      <c r="C66" s="20">
        <v>20814</v>
      </c>
      <c r="D66" s="16" t="s">
        <v>8</v>
      </c>
      <c r="E66" s="20" t="s">
        <v>15</v>
      </c>
      <c r="F66" s="16">
        <v>4</v>
      </c>
      <c r="G66" s="16" t="s">
        <v>191</v>
      </c>
      <c r="H66" s="16" t="s">
        <v>255</v>
      </c>
      <c r="I66" s="16" t="s">
        <v>265</v>
      </c>
      <c r="J66" s="18">
        <v>46084</v>
      </c>
      <c r="K66" s="18">
        <v>46085</v>
      </c>
      <c r="L66" s="19" t="str">
        <f>CONCATENATE(NETWORKDAYS(Consumo_Mensal!$J66, Consumo_Mensal!$K66)-1, " dia")</f>
        <v>1 dia</v>
      </c>
      <c r="M66" s="23">
        <f>IFERROR(Consumo_Mensal!$F66*VLOOKUP(Consumo_Mensal!$E66,TBEstoque[[DESCRIÇÃO]:[VALOR UNIT. (R$)]],7,0), 0)</f>
        <v>27.277999999999995</v>
      </c>
    </row>
    <row r="67" spans="2:13" ht="16.8" hidden="1">
      <c r="B67" s="20" t="str">
        <f>"PED-" &amp; Consumo_Mensal!$H67 &amp; "-" &amp; TEXT(Consumo_Mensal!$J67, "ddmmaa")</f>
        <v>PED-Farmácia Satélite - Unidade 02-040326</v>
      </c>
      <c r="C67" s="17">
        <v>20821</v>
      </c>
      <c r="D67" s="20" t="s">
        <v>8</v>
      </c>
      <c r="E67" s="20" t="s">
        <v>11</v>
      </c>
      <c r="F67" s="20">
        <v>6</v>
      </c>
      <c r="G67" s="20" t="s">
        <v>186</v>
      </c>
      <c r="H67" s="16" t="s">
        <v>256</v>
      </c>
      <c r="I67" s="16" t="s">
        <v>267</v>
      </c>
      <c r="J67" s="21">
        <v>46085</v>
      </c>
      <c r="K67" s="18">
        <v>46086</v>
      </c>
      <c r="L67" s="19" t="str">
        <f>CONCATENATE(NETWORKDAYS(Consumo_Mensal!$J67, Consumo_Mensal!$K67)-1, " dia")</f>
        <v>1 dia</v>
      </c>
      <c r="M67" s="23">
        <f>IFERROR(Consumo_Mensal!$F67*VLOOKUP(Consumo_Mensal!$E67,TBEstoque[[DESCRIÇÃO]:[VALOR UNIT. (R$)]],7,0), 0)</f>
        <v>165.6</v>
      </c>
    </row>
    <row r="68" spans="2:13" ht="16.8" hidden="1">
      <c r="B68" s="20" t="str">
        <f>"PED-" &amp; Consumo_Mensal!$H68 &amp; "-" &amp; TEXT(Consumo_Mensal!$J68, "ddmmaa")</f>
        <v>PED-Farmácia Satélite - Unidade 02-040326</v>
      </c>
      <c r="C68" s="20">
        <v>20814</v>
      </c>
      <c r="D68" s="20" t="s">
        <v>8</v>
      </c>
      <c r="E68" s="20" t="s">
        <v>15</v>
      </c>
      <c r="F68" s="20">
        <v>1</v>
      </c>
      <c r="G68" s="20" t="s">
        <v>186</v>
      </c>
      <c r="H68" s="16" t="s">
        <v>256</v>
      </c>
      <c r="I68" s="16" t="s">
        <v>267</v>
      </c>
      <c r="J68" s="21">
        <v>46085</v>
      </c>
      <c r="K68" s="18">
        <v>46086</v>
      </c>
      <c r="L68" s="19" t="str">
        <f>CONCATENATE(NETWORKDAYS(Consumo_Mensal!$J68, Consumo_Mensal!$K68)-1, " dia")</f>
        <v>1 dia</v>
      </c>
      <c r="M68" s="23">
        <f>IFERROR(Consumo_Mensal!$F68*VLOOKUP(Consumo_Mensal!$E68,TBEstoque[[DESCRIÇÃO]:[VALOR UNIT. (R$)]],7,0), 0)</f>
        <v>6.8194999999999988</v>
      </c>
    </row>
    <row r="69" spans="2:13" ht="16.8" hidden="1">
      <c r="B69" s="20" t="str">
        <f>"PED-" &amp; Consumo_Mensal!$H69 &amp; "-" &amp; TEXT(Consumo_Mensal!$J69, "ddmmaa")</f>
        <v>PED-Farmácia Satélite - Unidade 02-040326</v>
      </c>
      <c r="C69" s="17">
        <v>20817</v>
      </c>
      <c r="D69" s="20" t="s">
        <v>8</v>
      </c>
      <c r="E69" s="20" t="s">
        <v>9</v>
      </c>
      <c r="F69" s="20">
        <v>1</v>
      </c>
      <c r="G69" s="20" t="s">
        <v>186</v>
      </c>
      <c r="H69" s="16" t="s">
        <v>256</v>
      </c>
      <c r="I69" s="16" t="s">
        <v>267</v>
      </c>
      <c r="J69" s="21">
        <v>46085</v>
      </c>
      <c r="K69" s="18">
        <v>46086</v>
      </c>
      <c r="L69" s="19" t="str">
        <f>CONCATENATE(NETWORKDAYS(Consumo_Mensal!$J69, Consumo_Mensal!$K69)-1, " dia")</f>
        <v>1 dia</v>
      </c>
      <c r="M69" s="23">
        <f>IFERROR(Consumo_Mensal!$F69*VLOOKUP(Consumo_Mensal!$E69,TBEstoque[[DESCRIÇÃO]:[VALOR UNIT. (R$)]],7,0), 0)</f>
        <v>63.249999999999993</v>
      </c>
    </row>
    <row r="70" spans="2:13" ht="16.8" hidden="1">
      <c r="B70" s="20" t="str">
        <f>"PED-" &amp; Consumo_Mensal!$H70 &amp; "-" &amp; TEXT(Consumo_Mensal!$J70, "ddmmaa")</f>
        <v>PED-Farmácia Satélite - Unidade 02-040326</v>
      </c>
      <c r="C70" s="17">
        <v>20815</v>
      </c>
      <c r="D70" s="20" t="s">
        <v>8</v>
      </c>
      <c r="E70" s="20" t="s">
        <v>10</v>
      </c>
      <c r="F70" s="20">
        <v>1</v>
      </c>
      <c r="G70" s="20" t="s">
        <v>186</v>
      </c>
      <c r="H70" s="16" t="s">
        <v>256</v>
      </c>
      <c r="I70" s="16" t="s">
        <v>267</v>
      </c>
      <c r="J70" s="21">
        <v>46085</v>
      </c>
      <c r="K70" s="18">
        <v>46086</v>
      </c>
      <c r="L70" s="19" t="str">
        <f>CONCATENATE(NETWORKDAYS(Consumo_Mensal!$J70, Consumo_Mensal!$K70)-1, " dia")</f>
        <v>1 dia</v>
      </c>
      <c r="M70" s="23">
        <f>IFERROR(Consumo_Mensal!$F70*VLOOKUP(Consumo_Mensal!$E70,TBEstoque[[DESCRIÇÃO]:[VALOR UNIT. (R$)]],7,0), 0)</f>
        <v>97.749999999999986</v>
      </c>
    </row>
    <row r="71" spans="2:13" ht="16.8">
      <c r="B71" s="16" t="str">
        <f>"PED-" &amp; Consumo_Mensal!$H71 &amp; "-" &amp; TEXT(Consumo_Mensal!$J71, "ddmmaa")</f>
        <v>PED-Planta Industrial - Suprimentos-090326</v>
      </c>
      <c r="C71" s="20">
        <v>20814</v>
      </c>
      <c r="D71" s="16" t="s">
        <v>8</v>
      </c>
      <c r="E71" s="20" t="s">
        <v>15</v>
      </c>
      <c r="F71" s="16">
        <v>5</v>
      </c>
      <c r="G71" s="16" t="s">
        <v>191</v>
      </c>
      <c r="H71" s="16" t="s">
        <v>258</v>
      </c>
      <c r="I71" s="16" t="s">
        <v>269</v>
      </c>
      <c r="J71" s="18">
        <v>46090</v>
      </c>
      <c r="K71" s="18">
        <v>46090</v>
      </c>
      <c r="L71" s="19" t="str">
        <f>CONCATENATE(NETWORKDAYS(Consumo_Mensal!$J71, Consumo_Mensal!$K71)-1, " dia")</f>
        <v>0 dia</v>
      </c>
      <c r="M71" s="23">
        <f>IFERROR(Consumo_Mensal!$F71*VLOOKUP(Consumo_Mensal!$E71,TBEstoque[[DESCRIÇÃO]:[VALOR UNIT. (R$)]],7,0), 0)</f>
        <v>34.097499999999997</v>
      </c>
    </row>
    <row r="72" spans="2:13" ht="16.8">
      <c r="B72" s="16" t="str">
        <f>"PED-" &amp; Consumo_Mensal!$H72 &amp; "-" &amp; TEXT(Consumo_Mensal!$J72, "ddmmaa")</f>
        <v>PED-Planta Industrial - Suprimentos-090326</v>
      </c>
      <c r="C72" s="17">
        <v>20817</v>
      </c>
      <c r="D72" s="16" t="s">
        <v>8</v>
      </c>
      <c r="E72" s="16" t="s">
        <v>9</v>
      </c>
      <c r="F72" s="16">
        <v>15</v>
      </c>
      <c r="G72" s="16" t="s">
        <v>191</v>
      </c>
      <c r="H72" s="16" t="s">
        <v>258</v>
      </c>
      <c r="I72" s="16" t="s">
        <v>269</v>
      </c>
      <c r="J72" s="18">
        <v>46090</v>
      </c>
      <c r="K72" s="18">
        <v>46090</v>
      </c>
      <c r="L72" s="19" t="str">
        <f>CONCATENATE(NETWORKDAYS(Consumo_Mensal!$J72, Consumo_Mensal!$K72)-1, " dia")</f>
        <v>0 dia</v>
      </c>
      <c r="M72" s="23">
        <f>IFERROR(Consumo_Mensal!$F72*VLOOKUP(Consumo_Mensal!$E72,TBEstoque[[DESCRIÇÃO]:[VALOR UNIT. (R$)]],7,0), 0)</f>
        <v>948.74999999999989</v>
      </c>
    </row>
    <row r="73" spans="2:13" ht="16.8">
      <c r="B73" s="16" t="str">
        <f>"PED-" &amp; Consumo_Mensal!$H73 &amp; "-" &amp; TEXT(Consumo_Mensal!$J73, "ddmmaa")</f>
        <v>PED-Planta Industrial - Suprimentos-090326</v>
      </c>
      <c r="C73" s="17">
        <v>20821</v>
      </c>
      <c r="D73" s="16" t="s">
        <v>8</v>
      </c>
      <c r="E73" s="16" t="s">
        <v>11</v>
      </c>
      <c r="F73" s="16">
        <v>20</v>
      </c>
      <c r="G73" s="16" t="s">
        <v>191</v>
      </c>
      <c r="H73" s="16" t="s">
        <v>258</v>
      </c>
      <c r="I73" s="16" t="s">
        <v>269</v>
      </c>
      <c r="J73" s="18">
        <v>46090</v>
      </c>
      <c r="K73" s="18">
        <v>46090</v>
      </c>
      <c r="L73" s="19" t="str">
        <f>CONCATENATE(NETWORKDAYS(Consumo_Mensal!$J73, Consumo_Mensal!$K73)-1, " dia")</f>
        <v>0 dia</v>
      </c>
      <c r="M73" s="23">
        <f>IFERROR(Consumo_Mensal!$F73*VLOOKUP(Consumo_Mensal!$E73,TBEstoque[[DESCRIÇÃO]:[VALOR UNIT. (R$)]],7,0), 0)</f>
        <v>552</v>
      </c>
    </row>
    <row r="74" spans="2:13" ht="16.8">
      <c r="B74" s="16" t="str">
        <f>"PED-" &amp; Consumo_Mensal!$H74 &amp; "-" &amp; TEXT(Consumo_Mensal!$J74, "ddmmaa")</f>
        <v>PED-Planta Industrial - Suprimentos-090326</v>
      </c>
      <c r="C74" s="17">
        <v>20816</v>
      </c>
      <c r="D74" s="16" t="s">
        <v>8</v>
      </c>
      <c r="E74" s="16" t="s">
        <v>49</v>
      </c>
      <c r="F74" s="16">
        <v>3</v>
      </c>
      <c r="G74" s="16" t="s">
        <v>191</v>
      </c>
      <c r="H74" s="16" t="s">
        <v>258</v>
      </c>
      <c r="I74" s="16" t="s">
        <v>269</v>
      </c>
      <c r="J74" s="18">
        <v>46090</v>
      </c>
      <c r="K74" s="18">
        <v>46090</v>
      </c>
      <c r="L74" s="19" t="str">
        <f>CONCATENATE(NETWORKDAYS(Consumo_Mensal!$J74, Consumo_Mensal!$K74)-1, " dia")</f>
        <v>0 dia</v>
      </c>
      <c r="M74" s="23">
        <f>IFERROR(Consumo_Mensal!$F74*VLOOKUP(Consumo_Mensal!$E74,TBEstoque[[DESCRIÇÃO]:[VALOR UNIT. (R$)]],7,0), 0)</f>
        <v>154.90499999999997</v>
      </c>
    </row>
    <row r="75" spans="2:13" ht="16.8" hidden="1">
      <c r="B75" s="16" t="str">
        <f>"PED-" &amp; Consumo_Mensal!$H75 &amp; "-" &amp; TEXT(Consumo_Mensal!$J75, "ddmmaa")</f>
        <v>PED-Farmácia Principal - Unidade 01-090326</v>
      </c>
      <c r="C75" s="17">
        <v>20817</v>
      </c>
      <c r="D75" s="16" t="s">
        <v>8</v>
      </c>
      <c r="E75" s="16" t="s">
        <v>9</v>
      </c>
      <c r="F75" s="16">
        <v>2</v>
      </c>
      <c r="G75" s="16" t="s">
        <v>191</v>
      </c>
      <c r="H75" s="16" t="s">
        <v>263</v>
      </c>
      <c r="I75" s="16" t="s">
        <v>266</v>
      </c>
      <c r="J75" s="18">
        <v>46090</v>
      </c>
      <c r="K75" s="18">
        <v>46090</v>
      </c>
      <c r="L75" s="19" t="str">
        <f>CONCATENATE(NETWORKDAYS(Consumo_Mensal!$J75, Consumo_Mensal!$K75)-1, " dia")</f>
        <v>0 dia</v>
      </c>
      <c r="M75" s="23">
        <f>IFERROR(Consumo_Mensal!$F75*VLOOKUP(Consumo_Mensal!$E75,TBEstoque[[DESCRIÇÃO]:[VALOR UNIT. (R$)]],7,0), 0)</f>
        <v>126.49999999999999</v>
      </c>
    </row>
    <row r="76" spans="2:13" ht="16.8" hidden="1">
      <c r="B76" s="16" t="str">
        <f>"PED-" &amp; Consumo_Mensal!$H76 &amp; "-" &amp; TEXT(Consumo_Mensal!$J76, "ddmmaa")</f>
        <v>PED-Farmácia Principal - Unidade 01-090326</v>
      </c>
      <c r="C76" s="17">
        <v>20819</v>
      </c>
      <c r="D76" s="16" t="s">
        <v>8</v>
      </c>
      <c r="E76" s="16" t="s">
        <v>16</v>
      </c>
      <c r="F76" s="16">
        <v>3</v>
      </c>
      <c r="G76" s="16" t="s">
        <v>191</v>
      </c>
      <c r="H76" s="16" t="s">
        <v>263</v>
      </c>
      <c r="I76" s="16" t="s">
        <v>266</v>
      </c>
      <c r="J76" s="18">
        <v>46090</v>
      </c>
      <c r="K76" s="18">
        <v>46090</v>
      </c>
      <c r="L76" s="19" t="str">
        <f>CONCATENATE(NETWORKDAYS(Consumo_Mensal!$J76, Consumo_Mensal!$K76)-1, " dia")</f>
        <v>0 dia</v>
      </c>
      <c r="M76" s="23">
        <f>IFERROR(Consumo_Mensal!$F76*VLOOKUP(Consumo_Mensal!$E76,TBEstoque[[DESCRIÇÃO]:[VALOR UNIT. (R$)]],7,0), 0)</f>
        <v>30.118500000000001</v>
      </c>
    </row>
    <row r="77" spans="2:13" ht="16.8" hidden="1">
      <c r="B77" s="16" t="str">
        <f>"PED-" &amp; Consumo_Mensal!$H77 &amp; "-" &amp; TEXT(Consumo_Mensal!$J77, "ddmmaa")</f>
        <v>PED-Farmácia Principal - Unidade 01-090326</v>
      </c>
      <c r="C77" s="17">
        <v>20821</v>
      </c>
      <c r="D77" s="16" t="s">
        <v>8</v>
      </c>
      <c r="E77" s="16" t="s">
        <v>11</v>
      </c>
      <c r="F77" s="16">
        <v>2</v>
      </c>
      <c r="G77" s="16" t="s">
        <v>191</v>
      </c>
      <c r="H77" s="16" t="s">
        <v>263</v>
      </c>
      <c r="I77" s="16" t="s">
        <v>266</v>
      </c>
      <c r="J77" s="18">
        <v>46090</v>
      </c>
      <c r="K77" s="18">
        <v>46090</v>
      </c>
      <c r="L77" s="19" t="str">
        <f>CONCATENATE(NETWORKDAYS(Consumo_Mensal!$J77, Consumo_Mensal!$K77)-1, " dia")</f>
        <v>0 dia</v>
      </c>
      <c r="M77" s="23">
        <f>IFERROR(Consumo_Mensal!$F77*VLOOKUP(Consumo_Mensal!$E77,TBEstoque[[DESCRIÇÃO]:[VALOR UNIT. (R$)]],7,0), 0)</f>
        <v>55.199999999999996</v>
      </c>
    </row>
    <row r="78" spans="2:13" ht="16.8" hidden="1">
      <c r="B78" s="20" t="str">
        <f>"PED-" &amp; Consumo_Mensal!$H78 &amp; "-" &amp; TEXT(Consumo_Mensal!$J78, "ddmmaa")</f>
        <v>PED-Farmácia Satélite - Unidade 02-090326</v>
      </c>
      <c r="C78" s="17">
        <v>20821</v>
      </c>
      <c r="D78" s="20" t="s">
        <v>8</v>
      </c>
      <c r="E78" s="20" t="s">
        <v>11</v>
      </c>
      <c r="F78" s="20">
        <v>6</v>
      </c>
      <c r="G78" s="20" t="s">
        <v>186</v>
      </c>
      <c r="H78" s="16" t="s">
        <v>256</v>
      </c>
      <c r="I78" s="16" t="s">
        <v>267</v>
      </c>
      <c r="J78" s="21">
        <v>46090</v>
      </c>
      <c r="K78" s="21">
        <v>46091</v>
      </c>
      <c r="L78" s="19" t="str">
        <f>CONCATENATE(NETWORKDAYS(Consumo_Mensal!$J78, Consumo_Mensal!$K78)-1, " dia")</f>
        <v>1 dia</v>
      </c>
      <c r="M78" s="23">
        <f>IFERROR(Consumo_Mensal!$F78*VLOOKUP(Consumo_Mensal!$E78,TBEstoque[[DESCRIÇÃO]:[VALOR UNIT. (R$)]],7,0), 0)</f>
        <v>165.6</v>
      </c>
    </row>
    <row r="79" spans="2:13" ht="16.8" hidden="1">
      <c r="B79" s="20" t="str">
        <f>"PED-" &amp; Consumo_Mensal!$H79 &amp; "-" &amp; TEXT(Consumo_Mensal!$J79, "ddmmaa")</f>
        <v>PED-Farmácia Satélite - Unidade 02-090326</v>
      </c>
      <c r="C79" s="20">
        <v>20814</v>
      </c>
      <c r="D79" s="20" t="s">
        <v>8</v>
      </c>
      <c r="E79" s="20" t="s">
        <v>15</v>
      </c>
      <c r="F79" s="20">
        <v>1</v>
      </c>
      <c r="G79" s="16" t="s">
        <v>191</v>
      </c>
      <c r="H79" s="16" t="s">
        <v>256</v>
      </c>
      <c r="I79" s="16" t="s">
        <v>267</v>
      </c>
      <c r="J79" s="21">
        <v>46090</v>
      </c>
      <c r="K79" s="21">
        <v>46091</v>
      </c>
      <c r="L79" s="19" t="str">
        <f>CONCATENATE(NETWORKDAYS(Consumo_Mensal!$J79, Consumo_Mensal!$K79)-1, " dia")</f>
        <v>1 dia</v>
      </c>
      <c r="M79" s="23">
        <f>IFERROR(Consumo_Mensal!$F79*VLOOKUP(Consumo_Mensal!$E79,TBEstoque[[DESCRIÇÃO]:[VALOR UNIT. (R$)]],7,0), 0)</f>
        <v>6.8194999999999988</v>
      </c>
    </row>
    <row r="80" spans="2:13" ht="16.8" hidden="1">
      <c r="B80" s="16" t="str">
        <f>"PED-" &amp; Consumo_Mensal!$H80 &amp; "-" &amp; TEXT(Consumo_Mensal!$J80, "ddmmaa")</f>
        <v>PED-CD Logística - Regional ABC-100326</v>
      </c>
      <c r="C80" s="17">
        <v>20817</v>
      </c>
      <c r="D80" s="16" t="s">
        <v>8</v>
      </c>
      <c r="E80" s="16" t="s">
        <v>9</v>
      </c>
      <c r="F80" s="16">
        <v>3</v>
      </c>
      <c r="G80" s="16" t="s">
        <v>191</v>
      </c>
      <c r="H80" s="16" t="s">
        <v>255</v>
      </c>
      <c r="I80" s="16" t="s">
        <v>265</v>
      </c>
      <c r="J80" s="18">
        <v>46091</v>
      </c>
      <c r="K80" s="18">
        <v>46092</v>
      </c>
      <c r="L80" s="19" t="str">
        <f>CONCATENATE(NETWORKDAYS(Consumo_Mensal!$J80, Consumo_Mensal!$K80)-1, " dia")</f>
        <v>1 dia</v>
      </c>
      <c r="M80" s="23">
        <f>IFERROR(Consumo_Mensal!$F80*VLOOKUP(Consumo_Mensal!$E80,TBEstoque[[DESCRIÇÃO]:[VALOR UNIT. (R$)]],7,0), 0)</f>
        <v>189.74999999999997</v>
      </c>
    </row>
    <row r="81" spans="2:13" ht="16.8" hidden="1">
      <c r="B81" s="16" t="str">
        <f>"PED-" &amp; Consumo_Mensal!$H81 &amp; "-" &amp; TEXT(Consumo_Mensal!$J81, "ddmmaa")</f>
        <v>PED-CD Logística - Regional ABC-100326</v>
      </c>
      <c r="C81" s="17">
        <v>20821</v>
      </c>
      <c r="D81" s="16" t="s">
        <v>8</v>
      </c>
      <c r="E81" s="16" t="s">
        <v>11</v>
      </c>
      <c r="F81" s="16">
        <v>3</v>
      </c>
      <c r="G81" s="16" t="s">
        <v>191</v>
      </c>
      <c r="H81" s="16" t="s">
        <v>255</v>
      </c>
      <c r="I81" s="16" t="s">
        <v>265</v>
      </c>
      <c r="J81" s="18">
        <v>46091</v>
      </c>
      <c r="K81" s="18">
        <v>46092</v>
      </c>
      <c r="L81" s="19" t="str">
        <f>CONCATENATE(NETWORKDAYS(Consumo_Mensal!$J81, Consumo_Mensal!$K81)-1, " dia")</f>
        <v>1 dia</v>
      </c>
      <c r="M81" s="23">
        <f>IFERROR(Consumo_Mensal!$F81*VLOOKUP(Consumo_Mensal!$E81,TBEstoque[[DESCRIÇÃO]:[VALOR UNIT. (R$)]],7,0), 0)</f>
        <v>82.8</v>
      </c>
    </row>
    <row r="82" spans="2:13" ht="16.8" hidden="1">
      <c r="B82" s="16" t="str">
        <f>"PED-" &amp; Consumo_Mensal!$H82 &amp; "-" &amp; TEXT(Consumo_Mensal!$J82, "ddmmaa")</f>
        <v>PED-CD Logística - Regional ABC-100326</v>
      </c>
      <c r="C82" s="20">
        <v>20814</v>
      </c>
      <c r="D82" s="16" t="s">
        <v>8</v>
      </c>
      <c r="E82" s="20" t="s">
        <v>15</v>
      </c>
      <c r="F82" s="16">
        <v>2</v>
      </c>
      <c r="G82" s="16" t="s">
        <v>191</v>
      </c>
      <c r="H82" s="16" t="s">
        <v>255</v>
      </c>
      <c r="I82" s="16" t="s">
        <v>265</v>
      </c>
      <c r="J82" s="18">
        <v>46091</v>
      </c>
      <c r="K82" s="18">
        <v>46092</v>
      </c>
      <c r="L82" s="19" t="str">
        <f>CONCATENATE(NETWORKDAYS(Consumo_Mensal!$J82, Consumo_Mensal!$K82)-1, " dia")</f>
        <v>1 dia</v>
      </c>
      <c r="M82" s="23">
        <f>IFERROR(Consumo_Mensal!$F82*VLOOKUP(Consumo_Mensal!$E82,TBEstoque[[DESCRIÇÃO]:[VALOR UNIT. (R$)]],7,0), 0)</f>
        <v>13.638999999999998</v>
      </c>
    </row>
    <row r="83" spans="2:13" ht="16.8" hidden="1">
      <c r="B83" s="20" t="str">
        <f>"PED-" &amp; Consumo_Mensal!$H83 &amp; "-" &amp; TEXT(Consumo_Mensal!$J83, "ddmmaa")</f>
        <v>PED-Farmácia Satélite - Unidade 05-100326</v>
      </c>
      <c r="C83" s="17">
        <v>20817</v>
      </c>
      <c r="D83" s="20" t="s">
        <v>8</v>
      </c>
      <c r="E83" s="20" t="s">
        <v>9</v>
      </c>
      <c r="F83" s="20">
        <v>2</v>
      </c>
      <c r="G83" s="20" t="s">
        <v>186</v>
      </c>
      <c r="H83" s="16" t="s">
        <v>262</v>
      </c>
      <c r="I83" s="16" t="s">
        <v>274</v>
      </c>
      <c r="J83" s="21">
        <v>46091</v>
      </c>
      <c r="K83" s="18">
        <v>46092</v>
      </c>
      <c r="L83" s="19" t="str">
        <f>CONCATENATE(NETWORKDAYS(Consumo_Mensal!$J83, Consumo_Mensal!$K83)-1, " dia")</f>
        <v>1 dia</v>
      </c>
      <c r="M83" s="23">
        <f>IFERROR(Consumo_Mensal!$F83*VLOOKUP(Consumo_Mensal!$E83,TBEstoque[[DESCRIÇÃO]:[VALOR UNIT. (R$)]],7,0), 0)</f>
        <v>126.49999999999999</v>
      </c>
    </row>
    <row r="84" spans="2:13" ht="16.8" hidden="1">
      <c r="B84" s="20" t="str">
        <f>"PED-" &amp; Consumo_Mensal!$H84 &amp; "-" &amp; TEXT(Consumo_Mensal!$J84, "ddmmaa")</f>
        <v>PED-Farmácia Satélite - Unidade 05-100326</v>
      </c>
      <c r="C84" s="17">
        <v>20821</v>
      </c>
      <c r="D84" s="20" t="s">
        <v>8</v>
      </c>
      <c r="E84" s="20" t="s">
        <v>11</v>
      </c>
      <c r="F84" s="20">
        <v>2</v>
      </c>
      <c r="G84" s="20" t="s">
        <v>186</v>
      </c>
      <c r="H84" s="16" t="s">
        <v>262</v>
      </c>
      <c r="I84" s="16" t="s">
        <v>274</v>
      </c>
      <c r="J84" s="21">
        <v>46091</v>
      </c>
      <c r="K84" s="18">
        <v>46092</v>
      </c>
      <c r="L84" s="19" t="str">
        <f>CONCATENATE(NETWORKDAYS(Consumo_Mensal!$J84, Consumo_Mensal!$K84)-1, " dia")</f>
        <v>1 dia</v>
      </c>
      <c r="M84" s="23">
        <f>IFERROR(Consumo_Mensal!$F84*VLOOKUP(Consumo_Mensal!$E84,TBEstoque[[DESCRIÇÃO]:[VALOR UNIT. (R$)]],7,0), 0)</f>
        <v>55.199999999999996</v>
      </c>
    </row>
    <row r="85" spans="2:13" ht="16.8" hidden="1">
      <c r="B85" s="20" t="str">
        <f>"PED-" &amp; Consumo_Mensal!$H85 &amp; "-" &amp; TEXT(Consumo_Mensal!$J85, "ddmmaa")</f>
        <v>PED-Farmácia Satélite - Unidade 05-100326</v>
      </c>
      <c r="C85" s="17">
        <v>20819</v>
      </c>
      <c r="D85" s="20" t="s">
        <v>8</v>
      </c>
      <c r="E85" s="20" t="s">
        <v>16</v>
      </c>
      <c r="F85" s="20">
        <v>8</v>
      </c>
      <c r="G85" s="16" t="s">
        <v>191</v>
      </c>
      <c r="H85" s="16" t="s">
        <v>262</v>
      </c>
      <c r="I85" s="16" t="s">
        <v>274</v>
      </c>
      <c r="J85" s="21">
        <v>46091</v>
      </c>
      <c r="K85" s="18">
        <v>46092</v>
      </c>
      <c r="L85" s="19" t="str">
        <f>CONCATENATE(NETWORKDAYS(Consumo_Mensal!$J85, Consumo_Mensal!$K85)-1, " dia")</f>
        <v>1 dia</v>
      </c>
      <c r="M85" s="23">
        <f>IFERROR(Consumo_Mensal!$F85*VLOOKUP(Consumo_Mensal!$E85,TBEstoque[[DESCRIÇÃO]:[VALOR UNIT. (R$)]],7,0), 0)</f>
        <v>80.316000000000003</v>
      </c>
    </row>
    <row r="86" spans="2:13" ht="16.8" hidden="1">
      <c r="B86" s="16" t="str">
        <f>"PED-" &amp; Consumo_Mensal!$H86 &amp; "-" &amp; TEXT(Consumo_Mensal!$J86, "ddmmaa")</f>
        <v>PED-Almoxarifado Central-110326</v>
      </c>
      <c r="C86" s="17">
        <v>20821</v>
      </c>
      <c r="D86" s="16" t="s">
        <v>8</v>
      </c>
      <c r="E86" s="16" t="s">
        <v>11</v>
      </c>
      <c r="F86" s="16">
        <v>5</v>
      </c>
      <c r="G86" s="16" t="s">
        <v>191</v>
      </c>
      <c r="H86" s="16" t="s">
        <v>264</v>
      </c>
      <c r="I86" s="16" t="s">
        <v>273</v>
      </c>
      <c r="J86" s="18">
        <v>46092</v>
      </c>
      <c r="K86" s="18">
        <v>46093</v>
      </c>
      <c r="L86" s="19" t="str">
        <f>CONCATENATE(NETWORKDAYS(Consumo_Mensal!$J86, Consumo_Mensal!$K86)-1, " dia")</f>
        <v>1 dia</v>
      </c>
      <c r="M86" s="23">
        <f>IFERROR(Consumo_Mensal!$F86*VLOOKUP(Consumo_Mensal!$E86,TBEstoque[[DESCRIÇÃO]:[VALOR UNIT. (R$)]],7,0), 0)</f>
        <v>138</v>
      </c>
    </row>
    <row r="87" spans="2:13" ht="16.8" hidden="1">
      <c r="B87" s="16" t="str">
        <f>"PED-" &amp; Consumo_Mensal!$H87 &amp; "-" &amp; TEXT(Consumo_Mensal!$J87, "ddmmaa")</f>
        <v>PED-Almoxarifado Central-110326</v>
      </c>
      <c r="C87" s="20">
        <v>20814</v>
      </c>
      <c r="D87" s="16" t="s">
        <v>8</v>
      </c>
      <c r="E87" s="20" t="s">
        <v>15</v>
      </c>
      <c r="F87" s="16">
        <v>5</v>
      </c>
      <c r="G87" s="16" t="s">
        <v>191</v>
      </c>
      <c r="H87" s="16" t="s">
        <v>264</v>
      </c>
      <c r="I87" s="16" t="s">
        <v>273</v>
      </c>
      <c r="J87" s="18">
        <v>46092</v>
      </c>
      <c r="K87" s="18">
        <v>46093</v>
      </c>
      <c r="L87" s="19" t="str">
        <f>CONCATENATE(NETWORKDAYS(Consumo_Mensal!$J87, Consumo_Mensal!$K87)-1, " dia")</f>
        <v>1 dia</v>
      </c>
      <c r="M87" s="23">
        <f>IFERROR(Consumo_Mensal!$F87*VLOOKUP(Consumo_Mensal!$E87,TBEstoque[[DESCRIÇÃO]:[VALOR UNIT. (R$)]],7,0), 0)</f>
        <v>34.097499999999997</v>
      </c>
    </row>
    <row r="88" spans="2:13" ht="16.8" hidden="1">
      <c r="B88" s="20" t="str">
        <f>"PED-" &amp; Consumo_Mensal!$H88 &amp; "-" &amp; TEXT(Consumo_Mensal!$J88, "ddmmaa")</f>
        <v>PED-Escritório Central - Sede-110326</v>
      </c>
      <c r="C88" s="17">
        <v>20815</v>
      </c>
      <c r="D88" s="20" t="s">
        <v>8</v>
      </c>
      <c r="E88" s="20" t="s">
        <v>10</v>
      </c>
      <c r="F88" s="20">
        <v>3</v>
      </c>
      <c r="G88" s="20" t="s">
        <v>186</v>
      </c>
      <c r="H88" s="16" t="s">
        <v>260</v>
      </c>
      <c r="I88" s="16" t="s">
        <v>271</v>
      </c>
      <c r="J88" s="21">
        <v>46092</v>
      </c>
      <c r="K88" s="18">
        <v>46093</v>
      </c>
      <c r="L88" s="19" t="str">
        <f>CONCATENATE(NETWORKDAYS(Consumo_Mensal!$J88, Consumo_Mensal!$K88)-1, " dia")</f>
        <v>1 dia</v>
      </c>
      <c r="M88" s="23">
        <f>IFERROR(Consumo_Mensal!$F88*VLOOKUP(Consumo_Mensal!$E88,TBEstoque[[DESCRIÇÃO]:[VALOR UNIT. (R$)]],7,0), 0)</f>
        <v>293.24999999999994</v>
      </c>
    </row>
    <row r="89" spans="2:13" ht="16.8" hidden="1">
      <c r="B89" s="20" t="str">
        <f>"PED-" &amp; Consumo_Mensal!$H89 &amp; "-" &amp; TEXT(Consumo_Mensal!$J89, "ddmmaa")</f>
        <v>PED-Escritório Central - Sede-110326</v>
      </c>
      <c r="C89" s="17">
        <v>20816</v>
      </c>
      <c r="D89" s="20" t="s">
        <v>8</v>
      </c>
      <c r="E89" s="20" t="s">
        <v>49</v>
      </c>
      <c r="F89" s="20">
        <v>2</v>
      </c>
      <c r="G89" s="20" t="s">
        <v>186</v>
      </c>
      <c r="H89" s="16" t="s">
        <v>260</v>
      </c>
      <c r="I89" s="16" t="s">
        <v>271</v>
      </c>
      <c r="J89" s="21">
        <v>46092</v>
      </c>
      <c r="K89" s="18">
        <v>46093</v>
      </c>
      <c r="L89" s="19" t="str">
        <f>CONCATENATE(NETWORKDAYS(Consumo_Mensal!$J89, Consumo_Mensal!$K89)-1, " dia")</f>
        <v>1 dia</v>
      </c>
      <c r="M89" s="23">
        <f>IFERROR(Consumo_Mensal!$F89*VLOOKUP(Consumo_Mensal!$E89,TBEstoque[[DESCRIÇÃO]:[VALOR UNIT. (R$)]],7,0), 0)</f>
        <v>103.26999999999998</v>
      </c>
    </row>
    <row r="90" spans="2:13" ht="16.8" hidden="1">
      <c r="B90" s="20" t="str">
        <f>"PED-" &amp; Consumo_Mensal!$H90 &amp; "-" &amp; TEXT(Consumo_Mensal!$J90, "ddmmaa")</f>
        <v>PED-Escritório Central - Sede-110326</v>
      </c>
      <c r="C90" s="17">
        <v>20821</v>
      </c>
      <c r="D90" s="20" t="s">
        <v>8</v>
      </c>
      <c r="E90" s="20" t="s">
        <v>11</v>
      </c>
      <c r="F90" s="20">
        <v>5</v>
      </c>
      <c r="G90" s="20" t="s">
        <v>186</v>
      </c>
      <c r="H90" s="16" t="s">
        <v>260</v>
      </c>
      <c r="I90" s="16" t="s">
        <v>271</v>
      </c>
      <c r="J90" s="21">
        <v>46092</v>
      </c>
      <c r="K90" s="18">
        <v>46093</v>
      </c>
      <c r="L90" s="19" t="str">
        <f>CONCATENATE(NETWORKDAYS(Consumo_Mensal!$J90, Consumo_Mensal!$K90)-1, " dia")</f>
        <v>1 dia</v>
      </c>
      <c r="M90" s="23">
        <f>IFERROR(Consumo_Mensal!$F90*VLOOKUP(Consumo_Mensal!$E90,TBEstoque[[DESCRIÇÃO]:[VALOR UNIT. (R$)]],7,0), 0)</f>
        <v>138</v>
      </c>
    </row>
    <row r="91" spans="2:13" ht="16.8" hidden="1">
      <c r="B91" s="20" t="str">
        <f>"PED-" &amp; Consumo_Mensal!$H91 &amp; "-" &amp; TEXT(Consumo_Mensal!$J91, "ddmmaa")</f>
        <v>PED-Escritório Apoio - Gestão-130326</v>
      </c>
      <c r="C91" s="17">
        <v>20816</v>
      </c>
      <c r="D91" s="20" t="s">
        <v>8</v>
      </c>
      <c r="E91" s="20" t="s">
        <v>49</v>
      </c>
      <c r="F91" s="20">
        <v>10</v>
      </c>
      <c r="G91" s="20" t="s">
        <v>186</v>
      </c>
      <c r="H91" s="16" t="s">
        <v>261</v>
      </c>
      <c r="I91" s="16" t="s">
        <v>272</v>
      </c>
      <c r="J91" s="21">
        <v>46094</v>
      </c>
      <c r="K91" s="21">
        <v>46097</v>
      </c>
      <c r="L91" s="19" t="str">
        <f>CONCATENATE(NETWORKDAYS(Consumo_Mensal!$J91, Consumo_Mensal!$K91)-1, " dia")</f>
        <v>1 dia</v>
      </c>
      <c r="M91" s="23">
        <f>IFERROR(Consumo_Mensal!$F91*VLOOKUP(Consumo_Mensal!$E91,TBEstoque[[DESCRIÇÃO]:[VALOR UNIT. (R$)]],7,0), 0)</f>
        <v>516.34999999999991</v>
      </c>
    </row>
    <row r="92" spans="2:13" ht="16.8" hidden="1">
      <c r="B92" s="20" t="str">
        <f>"PED-" &amp; Consumo_Mensal!$H92 &amp; "-" &amp; TEXT(Consumo_Mensal!$J92, "ddmmaa")</f>
        <v>PED-Escritório Apoio - Gestão-130326</v>
      </c>
      <c r="C92" s="17">
        <v>20815</v>
      </c>
      <c r="D92" s="20" t="s">
        <v>8</v>
      </c>
      <c r="E92" s="20" t="s">
        <v>10</v>
      </c>
      <c r="F92" s="20">
        <v>2</v>
      </c>
      <c r="G92" s="20" t="s">
        <v>186</v>
      </c>
      <c r="H92" s="16" t="s">
        <v>261</v>
      </c>
      <c r="I92" s="16" t="s">
        <v>272</v>
      </c>
      <c r="J92" s="21">
        <v>46094</v>
      </c>
      <c r="K92" s="21">
        <v>46097</v>
      </c>
      <c r="L92" s="19" t="str">
        <f>CONCATENATE(NETWORKDAYS(Consumo_Mensal!$J92, Consumo_Mensal!$K92)-1, " dia")</f>
        <v>1 dia</v>
      </c>
      <c r="M92" s="23">
        <f>IFERROR(Consumo_Mensal!$F92*VLOOKUP(Consumo_Mensal!$E92,TBEstoque[[DESCRIÇÃO]:[VALOR UNIT. (R$)]],7,0), 0)</f>
        <v>195.49999999999997</v>
      </c>
    </row>
    <row r="93" spans="2:13" ht="16.8" hidden="1">
      <c r="B93" s="20" t="str">
        <f>"PED-" &amp; Consumo_Mensal!$H93 &amp; "-" &amp; TEXT(Consumo_Mensal!$J93, "ddmmaa")</f>
        <v>PED-Escritório Apoio - Gestão-130326</v>
      </c>
      <c r="C93" s="17">
        <v>20821</v>
      </c>
      <c r="D93" s="20" t="s">
        <v>8</v>
      </c>
      <c r="E93" s="20" t="s">
        <v>11</v>
      </c>
      <c r="F93" s="20">
        <v>10</v>
      </c>
      <c r="G93" s="20" t="s">
        <v>186</v>
      </c>
      <c r="H93" s="16" t="s">
        <v>261</v>
      </c>
      <c r="I93" s="16" t="s">
        <v>272</v>
      </c>
      <c r="J93" s="21">
        <v>46094</v>
      </c>
      <c r="K93" s="21">
        <v>46097</v>
      </c>
      <c r="L93" s="19" t="str">
        <f>CONCATENATE(NETWORKDAYS(Consumo_Mensal!$J93, Consumo_Mensal!$K93)-1, " dia")</f>
        <v>1 dia</v>
      </c>
      <c r="M93" s="23">
        <f>IFERROR(Consumo_Mensal!$F93*VLOOKUP(Consumo_Mensal!$E93,TBEstoque[[DESCRIÇÃO]:[VALOR UNIT. (R$)]],7,0), 0)</f>
        <v>276</v>
      </c>
    </row>
    <row r="94" spans="2:13" ht="16.8" hidden="1">
      <c r="B94" s="20" t="str">
        <f>"PED-" &amp; Consumo_Mensal!$H94 &amp; "-" &amp; TEXT(Consumo_Mensal!$J94, "ddmmaa")</f>
        <v>PED-Escritório Apoio - Gestão-130326</v>
      </c>
      <c r="C94" s="20">
        <v>20814</v>
      </c>
      <c r="D94" s="20" t="s">
        <v>8</v>
      </c>
      <c r="E94" s="20" t="s">
        <v>15</v>
      </c>
      <c r="F94" s="20">
        <v>5</v>
      </c>
      <c r="G94" s="20" t="s">
        <v>186</v>
      </c>
      <c r="H94" s="16" t="s">
        <v>261</v>
      </c>
      <c r="I94" s="16" t="s">
        <v>272</v>
      </c>
      <c r="J94" s="21">
        <v>46094</v>
      </c>
      <c r="K94" s="21">
        <v>46097</v>
      </c>
      <c r="L94" s="19" t="str">
        <f>CONCATENATE(NETWORKDAYS(Consumo_Mensal!$J94, Consumo_Mensal!$K94)-1, " dia")</f>
        <v>1 dia</v>
      </c>
      <c r="M94" s="23">
        <f>IFERROR(Consumo_Mensal!$F94*VLOOKUP(Consumo_Mensal!$E94,TBEstoque[[DESCRIÇÃO]:[VALOR UNIT. (R$)]],7,0), 0)</f>
        <v>34.097499999999997</v>
      </c>
    </row>
    <row r="95" spans="2:13" ht="16.8" hidden="1">
      <c r="B95" s="20" t="str">
        <f>"PED-" &amp; Consumo_Mensal!$H95 &amp; "-" &amp; TEXT(Consumo_Mensal!$J95, "ddmmaa")</f>
        <v>PED-Escritório Apoio - Gestão-130326</v>
      </c>
      <c r="C95" s="17">
        <v>20820</v>
      </c>
      <c r="D95" s="20" t="s">
        <v>8</v>
      </c>
      <c r="E95" s="20" t="s">
        <v>16</v>
      </c>
      <c r="F95" s="20">
        <v>10</v>
      </c>
      <c r="G95" s="16" t="s">
        <v>191</v>
      </c>
      <c r="H95" s="16" t="s">
        <v>261</v>
      </c>
      <c r="I95" s="16" t="s">
        <v>272</v>
      </c>
      <c r="J95" s="21">
        <v>46094</v>
      </c>
      <c r="K95" s="21">
        <v>46097</v>
      </c>
      <c r="L95" s="19" t="str">
        <f>CONCATENATE(NETWORKDAYS(Consumo_Mensal!$J95, Consumo_Mensal!$K95)-1, " dia")</f>
        <v>1 dia</v>
      </c>
      <c r="M95" s="23">
        <f>IFERROR(Consumo_Mensal!$F95*VLOOKUP(Consumo_Mensal!$E95,TBEstoque[[DESCRIÇÃO]:[VALOR UNIT. (R$)]],7,0), 0)</f>
        <v>100.39500000000001</v>
      </c>
    </row>
    <row r="96" spans="2:13" ht="16.8" hidden="1">
      <c r="B96" s="20" t="str">
        <f>"PED-" &amp; Consumo_Mensal!$H96 &amp; "-" &amp; TEXT(Consumo_Mensal!$J96, "ddmmaa")</f>
        <v>PED-Escritório Apoio - Gestão-130326</v>
      </c>
      <c r="C96" s="17">
        <v>20818</v>
      </c>
      <c r="D96" s="20" t="s">
        <v>8</v>
      </c>
      <c r="E96" s="20" t="s">
        <v>63</v>
      </c>
      <c r="F96" s="20">
        <v>10</v>
      </c>
      <c r="G96" s="16" t="s">
        <v>191</v>
      </c>
      <c r="H96" s="16" t="s">
        <v>261</v>
      </c>
      <c r="I96" s="16" t="s">
        <v>272</v>
      </c>
      <c r="J96" s="21">
        <v>46094</v>
      </c>
      <c r="K96" s="21">
        <v>46097</v>
      </c>
      <c r="L96" s="19" t="str">
        <f>CONCATENATE(NETWORKDAYS(Consumo_Mensal!$J96, Consumo_Mensal!$K96)-1, " dia")</f>
        <v>1 dia</v>
      </c>
      <c r="M96" s="23">
        <f>IFERROR(Consumo_Mensal!$F96*VLOOKUP(Consumo_Mensal!$E96,TBEstoque[[DESCRIÇÃO]:[VALOR UNIT. (R$)]],7,0), 0)</f>
        <v>99.934999999999988</v>
      </c>
    </row>
    <row r="97" spans="2:13" ht="16.8" hidden="1">
      <c r="B97" s="20" t="str">
        <f>"PED-" &amp; Consumo_Mensal!$H97 &amp; "-" &amp; TEXT(Consumo_Mensal!$J97, "ddmmaa")</f>
        <v>PED-Escritório Apoio - Gestão-130326</v>
      </c>
      <c r="C97" s="17">
        <v>20820</v>
      </c>
      <c r="D97" s="20" t="s">
        <v>8</v>
      </c>
      <c r="E97" s="20" t="s">
        <v>64</v>
      </c>
      <c r="F97" s="20">
        <v>5</v>
      </c>
      <c r="G97" s="16" t="s">
        <v>191</v>
      </c>
      <c r="H97" s="16" t="s">
        <v>261</v>
      </c>
      <c r="I97" s="16" t="s">
        <v>272</v>
      </c>
      <c r="J97" s="21">
        <v>46094</v>
      </c>
      <c r="K97" s="21">
        <v>46097</v>
      </c>
      <c r="L97" s="19" t="str">
        <f>CONCATENATE(NETWORKDAYS(Consumo_Mensal!$J97, Consumo_Mensal!$K97)-1, " dia")</f>
        <v>1 dia</v>
      </c>
      <c r="M97" s="23">
        <f>IFERROR(Consumo_Mensal!$F97*VLOOKUP(Consumo_Mensal!$E97,TBEstoque[[DESCRIÇÃO]:[VALOR UNIT. (R$)]],7,0), 0)</f>
        <v>24.950000000000003</v>
      </c>
    </row>
    <row r="98" spans="2:13" ht="16.8" hidden="1">
      <c r="B98" s="16" t="str">
        <f>"PED-" &amp; Consumo_Mensal!$H98 &amp; "-" &amp; TEXT(Consumo_Mensal!$J98, "ddmmaa")</f>
        <v>PED-Farmácia Principal - Unidade 01-100226</v>
      </c>
      <c r="C98" s="17">
        <v>20832</v>
      </c>
      <c r="D98" s="16" t="s">
        <v>5</v>
      </c>
      <c r="E98" s="16" t="s">
        <v>33</v>
      </c>
      <c r="F98" s="16">
        <v>75</v>
      </c>
      <c r="G98" s="16" t="s">
        <v>190</v>
      </c>
      <c r="H98" s="16" t="s">
        <v>263</v>
      </c>
      <c r="I98" s="16" t="s">
        <v>275</v>
      </c>
      <c r="J98" s="18">
        <v>46063</v>
      </c>
      <c r="K98" s="18">
        <v>46064</v>
      </c>
      <c r="L98" s="19" t="str">
        <f>CONCATENATE(NETWORKDAYS(Consumo_Mensal!$J98, Consumo_Mensal!$K98)-1, " dia")</f>
        <v>1 dia</v>
      </c>
      <c r="M98" s="23">
        <f>IFERROR(Consumo_Mensal!$F98*VLOOKUP(Consumo_Mensal!$E98,TBEstoque[[DESCRIÇÃO]:[VALOR UNIT. (R$)]],7,0), 0)</f>
        <v>62.962499999999991</v>
      </c>
    </row>
    <row r="99" spans="2:13" ht="16.8" hidden="1">
      <c r="B99" s="16" t="str">
        <f>"PED-" &amp; Consumo_Mensal!$H99 &amp; "-" &amp; TEXT(Consumo_Mensal!$J99, "ddmmaa")</f>
        <v>PED-Farmácia Principal - Unidade 01-100226</v>
      </c>
      <c r="C99" s="17">
        <v>20833</v>
      </c>
      <c r="D99" s="16" t="s">
        <v>5</v>
      </c>
      <c r="E99" s="16" t="s">
        <v>34</v>
      </c>
      <c r="F99" s="16">
        <v>75</v>
      </c>
      <c r="G99" s="16" t="s">
        <v>190</v>
      </c>
      <c r="H99" s="16" t="s">
        <v>263</v>
      </c>
      <c r="I99" s="16" t="s">
        <v>275</v>
      </c>
      <c r="J99" s="18">
        <v>46063</v>
      </c>
      <c r="K99" s="18">
        <v>46064</v>
      </c>
      <c r="L99" s="19" t="str">
        <f>CONCATENATE(NETWORKDAYS(Consumo_Mensal!$J99, Consumo_Mensal!$K99)-1, " dia")</f>
        <v>1 dia</v>
      </c>
      <c r="M99" s="23">
        <f>IFERROR(Consumo_Mensal!$F99*VLOOKUP(Consumo_Mensal!$E99,TBEstoque[[DESCRIÇÃO]:[VALOR UNIT. (R$)]],7,0), 0)</f>
        <v>38.8125</v>
      </c>
    </row>
    <row r="100" spans="2:13" ht="16.8" hidden="1">
      <c r="B100" s="16" t="str">
        <f>"PED-" &amp; Consumo_Mensal!$H100 &amp; "-" &amp; TEXT(Consumo_Mensal!$J100, "ddmmaa")</f>
        <v>PED-Farmácia Principal - Unidade 01-100226</v>
      </c>
      <c r="C100" s="17">
        <v>20846</v>
      </c>
      <c r="D100" s="16" t="s">
        <v>5</v>
      </c>
      <c r="E100" s="16" t="s">
        <v>35</v>
      </c>
      <c r="F100" s="16">
        <v>3</v>
      </c>
      <c r="G100" s="20" t="s">
        <v>186</v>
      </c>
      <c r="H100" s="16" t="s">
        <v>263</v>
      </c>
      <c r="I100" s="16" t="s">
        <v>275</v>
      </c>
      <c r="J100" s="18">
        <v>46063</v>
      </c>
      <c r="K100" s="18">
        <v>46064</v>
      </c>
      <c r="L100" s="19" t="str">
        <f>CONCATENATE(NETWORKDAYS(Consumo_Mensal!$J100, Consumo_Mensal!$K100)-1, " dia")</f>
        <v>1 dia</v>
      </c>
      <c r="M100" s="23">
        <f>IFERROR(Consumo_Mensal!$F100*VLOOKUP(Consumo_Mensal!$E100,TBEstoque[[DESCRIÇÃO]:[VALOR UNIT. (R$)]],7,0), 0)</f>
        <v>5.2784999999999993</v>
      </c>
    </row>
    <row r="101" spans="2:13" ht="16.8" hidden="1">
      <c r="B101" s="16" t="str">
        <f>"PED-" &amp; Consumo_Mensal!$H101 &amp; "-" &amp; TEXT(Consumo_Mensal!$J101, "ddmmaa")</f>
        <v>PED-Farmácia Satélite - Unidade 02-100226</v>
      </c>
      <c r="C101" s="17">
        <v>20826</v>
      </c>
      <c r="D101" s="16" t="s">
        <v>5</v>
      </c>
      <c r="E101" s="16" t="s">
        <v>36</v>
      </c>
      <c r="F101" s="16">
        <v>25</v>
      </c>
      <c r="G101" s="16" t="s">
        <v>190</v>
      </c>
      <c r="H101" s="16" t="s">
        <v>256</v>
      </c>
      <c r="I101" s="16" t="s">
        <v>267</v>
      </c>
      <c r="J101" s="18">
        <v>46063</v>
      </c>
      <c r="K101" s="18">
        <v>46064</v>
      </c>
      <c r="L101" s="19" t="str">
        <f>CONCATENATE(NETWORKDAYS(Consumo_Mensal!$J101, Consumo_Mensal!$K101)-1, " dia")</f>
        <v>1 dia</v>
      </c>
      <c r="M101" s="23">
        <f>IFERROR(Consumo_Mensal!$F101*VLOOKUP(Consumo_Mensal!$E101,TBEstoque[[DESCRIÇÃO]:[VALOR UNIT. (R$)]],7,0), 0)</f>
        <v>34.212499999999999</v>
      </c>
    </row>
    <row r="102" spans="2:13" ht="16.8" hidden="1">
      <c r="B102" s="16" t="str">
        <f>"PED-" &amp; Consumo_Mensal!$H102 &amp; "-" &amp; TEXT(Consumo_Mensal!$J102, "ddmmaa")</f>
        <v>PED-Farmácia Satélite - Unidade 02-100226</v>
      </c>
      <c r="C102" s="17">
        <v>20826</v>
      </c>
      <c r="D102" s="16" t="s">
        <v>5</v>
      </c>
      <c r="E102" s="16" t="s">
        <v>37</v>
      </c>
      <c r="F102" s="16">
        <v>10</v>
      </c>
      <c r="G102" s="16" t="s">
        <v>187</v>
      </c>
      <c r="H102" s="16" t="s">
        <v>256</v>
      </c>
      <c r="I102" s="16" t="s">
        <v>267</v>
      </c>
      <c r="J102" s="18">
        <v>46063</v>
      </c>
      <c r="K102" s="18">
        <v>46064</v>
      </c>
      <c r="L102" s="19" t="str">
        <f>CONCATENATE(NETWORKDAYS(Consumo_Mensal!$J102, Consumo_Mensal!$K102)-1, " dia")</f>
        <v>1 dia</v>
      </c>
      <c r="M102" s="23">
        <f>IFERROR(Consumo_Mensal!$F102*VLOOKUP(Consumo_Mensal!$E102,TBEstoque[[DESCRIÇÃO]:[VALOR UNIT. (R$)]],7,0), 0)</f>
        <v>55.43</v>
      </c>
    </row>
    <row r="103" spans="2:13" ht="16.8" hidden="1">
      <c r="B103" s="16" t="str">
        <f>"PED-" &amp; Consumo_Mensal!$H103 &amp; "-" &amp; TEXT(Consumo_Mensal!$J103, "ddmmaa")</f>
        <v>PED-Farmácia Satélite - Unidade 02-100226</v>
      </c>
      <c r="C103" s="17">
        <v>20833</v>
      </c>
      <c r="D103" s="16" t="s">
        <v>5</v>
      </c>
      <c r="E103" s="16" t="s">
        <v>34</v>
      </c>
      <c r="F103" s="16">
        <v>50</v>
      </c>
      <c r="G103" s="16" t="s">
        <v>190</v>
      </c>
      <c r="H103" s="16" t="s">
        <v>256</v>
      </c>
      <c r="I103" s="16" t="s">
        <v>267</v>
      </c>
      <c r="J103" s="18">
        <v>46063</v>
      </c>
      <c r="K103" s="18">
        <v>46064</v>
      </c>
      <c r="L103" s="19" t="str">
        <f>CONCATENATE(NETWORKDAYS(Consumo_Mensal!$J103, Consumo_Mensal!$K103)-1, " dia")</f>
        <v>1 dia</v>
      </c>
      <c r="M103" s="23">
        <f>IFERROR(Consumo_Mensal!$F103*VLOOKUP(Consumo_Mensal!$E103,TBEstoque[[DESCRIÇÃO]:[VALOR UNIT. (R$)]],7,0), 0)</f>
        <v>25.874999999999996</v>
      </c>
    </row>
    <row r="104" spans="2:13" ht="16.8" hidden="1">
      <c r="B104" s="16" t="str">
        <f>"PED-" &amp; Consumo_Mensal!$H104 &amp; "-" &amp; TEXT(Consumo_Mensal!$J104, "ddmmaa")</f>
        <v>PED-Farmácia Satélite - Unidade 05-100226</v>
      </c>
      <c r="C104" s="17">
        <v>20826</v>
      </c>
      <c r="D104" s="16" t="s">
        <v>5</v>
      </c>
      <c r="E104" s="16" t="s">
        <v>37</v>
      </c>
      <c r="F104" s="16">
        <v>100</v>
      </c>
      <c r="G104" s="16" t="s">
        <v>187</v>
      </c>
      <c r="H104" s="16" t="s">
        <v>262</v>
      </c>
      <c r="I104" s="16" t="s">
        <v>276</v>
      </c>
      <c r="J104" s="18">
        <v>46063</v>
      </c>
      <c r="K104" s="18">
        <v>46064</v>
      </c>
      <c r="L104" s="19" t="str">
        <f>CONCATENATE(NETWORKDAYS(Consumo_Mensal!$J104, Consumo_Mensal!$K104)-1, " dia")</f>
        <v>1 dia</v>
      </c>
      <c r="M104" s="23">
        <f>IFERROR(Consumo_Mensal!$F104*VLOOKUP(Consumo_Mensal!$E104,TBEstoque[[DESCRIÇÃO]:[VALOR UNIT. (R$)]],7,0), 0)</f>
        <v>554.30000000000007</v>
      </c>
    </row>
    <row r="105" spans="2:13" ht="16.8" hidden="1">
      <c r="B105" s="16" t="str">
        <f>"PED-" &amp; Consumo_Mensal!$H105 &amp; "-" &amp; TEXT(Consumo_Mensal!$J105, "ddmmaa")</f>
        <v>PED-Farmácia Satélite - Unidade 03-120226</v>
      </c>
      <c r="C105" s="17">
        <v>20846</v>
      </c>
      <c r="D105" s="16" t="s">
        <v>5</v>
      </c>
      <c r="E105" s="16" t="s">
        <v>35</v>
      </c>
      <c r="F105" s="16">
        <v>5</v>
      </c>
      <c r="G105" s="20" t="s">
        <v>186</v>
      </c>
      <c r="H105" s="16" t="s">
        <v>257</v>
      </c>
      <c r="I105" s="16" t="s">
        <v>277</v>
      </c>
      <c r="J105" s="18">
        <v>46065</v>
      </c>
      <c r="K105" s="18">
        <v>46066</v>
      </c>
      <c r="L105" s="19" t="str">
        <f>CONCATENATE(NETWORKDAYS(Consumo_Mensal!$J105, Consumo_Mensal!$K105)-1, " dia")</f>
        <v>1 dia</v>
      </c>
      <c r="M105" s="23">
        <f>IFERROR(Consumo_Mensal!$F105*VLOOKUP(Consumo_Mensal!$E105,TBEstoque[[DESCRIÇÃO]:[VALOR UNIT. (R$)]],7,0), 0)</f>
        <v>8.7974999999999994</v>
      </c>
    </row>
    <row r="106" spans="2:13" ht="16.8" hidden="1">
      <c r="B106" s="16" t="str">
        <f>"PED-" &amp; Consumo_Mensal!$H106 &amp; "-" &amp; TEXT(Consumo_Mensal!$J106, "ddmmaa")</f>
        <v>PED-Farmácia Satélite - Unidade 03-120226</v>
      </c>
      <c r="C106" s="17">
        <v>20833</v>
      </c>
      <c r="D106" s="16" t="s">
        <v>5</v>
      </c>
      <c r="E106" s="16" t="s">
        <v>34</v>
      </c>
      <c r="F106" s="16">
        <v>125</v>
      </c>
      <c r="G106" s="16" t="s">
        <v>190</v>
      </c>
      <c r="H106" s="16" t="s">
        <v>257</v>
      </c>
      <c r="I106" s="16" t="s">
        <v>277</v>
      </c>
      <c r="J106" s="18">
        <v>46065</v>
      </c>
      <c r="K106" s="18">
        <v>46066</v>
      </c>
      <c r="L106" s="19" t="str">
        <f>CONCATENATE(NETWORKDAYS(Consumo_Mensal!$J106, Consumo_Mensal!$K106)-1, " dia")</f>
        <v>1 dia</v>
      </c>
      <c r="M106" s="23">
        <f>IFERROR(Consumo_Mensal!$F106*VLOOKUP(Consumo_Mensal!$E106,TBEstoque[[DESCRIÇÃO]:[VALOR UNIT. (R$)]],7,0), 0)</f>
        <v>64.6875</v>
      </c>
    </row>
    <row r="107" spans="2:13" ht="16.8" hidden="1">
      <c r="B107" s="16" t="str">
        <f>"PED-" &amp; Consumo_Mensal!$H107 &amp; "-" &amp; TEXT(Consumo_Mensal!$J107, "ddmmaa")</f>
        <v>PED-Farmácia Satélite - Unidade 03-180226</v>
      </c>
      <c r="C107" s="17">
        <v>20826</v>
      </c>
      <c r="D107" s="16" t="s">
        <v>5</v>
      </c>
      <c r="E107" s="16" t="s">
        <v>37</v>
      </c>
      <c r="F107" s="16">
        <v>20</v>
      </c>
      <c r="G107" s="16" t="s">
        <v>187</v>
      </c>
      <c r="H107" s="16" t="s">
        <v>257</v>
      </c>
      <c r="I107" s="16" t="s">
        <v>277</v>
      </c>
      <c r="J107" s="18">
        <v>46071</v>
      </c>
      <c r="K107" s="18">
        <v>46072</v>
      </c>
      <c r="L107" s="19" t="str">
        <f>CONCATENATE(NETWORKDAYS(Consumo_Mensal!$J107, Consumo_Mensal!$K107)-1, " dia")</f>
        <v>1 dia</v>
      </c>
      <c r="M107" s="23">
        <f>IFERROR(Consumo_Mensal!$F107*VLOOKUP(Consumo_Mensal!$E107,TBEstoque[[DESCRIÇÃO]:[VALOR UNIT. (R$)]],7,0), 0)</f>
        <v>110.86</v>
      </c>
    </row>
    <row r="108" spans="2:13" ht="16.8" hidden="1">
      <c r="B108" s="16" t="str">
        <f>"PED-" &amp; Consumo_Mensal!$H108 &amp; "-" &amp; TEXT(Consumo_Mensal!$J108, "ddmmaa")</f>
        <v>PED-Farmácia Satélite - Unidade 03-180226</v>
      </c>
      <c r="C108" s="17">
        <v>20826</v>
      </c>
      <c r="D108" s="16" t="s">
        <v>5</v>
      </c>
      <c r="E108" s="16" t="s">
        <v>36</v>
      </c>
      <c r="F108" s="16">
        <v>50</v>
      </c>
      <c r="G108" s="16" t="s">
        <v>190</v>
      </c>
      <c r="H108" s="16" t="s">
        <v>257</v>
      </c>
      <c r="I108" s="16" t="s">
        <v>277</v>
      </c>
      <c r="J108" s="18">
        <v>46071</v>
      </c>
      <c r="K108" s="18">
        <v>46072</v>
      </c>
      <c r="L108" s="19" t="str">
        <f>CONCATENATE(NETWORKDAYS(Consumo_Mensal!$J108, Consumo_Mensal!$K108)-1, " dia")</f>
        <v>1 dia</v>
      </c>
      <c r="M108" s="23">
        <f>IFERROR(Consumo_Mensal!$F108*VLOOKUP(Consumo_Mensal!$E108,TBEstoque[[DESCRIÇÃO]:[VALOR UNIT. (R$)]],7,0), 0)</f>
        <v>68.424999999999997</v>
      </c>
    </row>
    <row r="109" spans="2:13" ht="16.8" hidden="1">
      <c r="B109" s="20" t="str">
        <f>"PED-" &amp; Consumo_Mensal!$H109 &amp; "-" &amp; TEXT(Consumo_Mensal!$J109, "ddmmaa")</f>
        <v>PED-Farmácia Satélite - Unidade 02-180226</v>
      </c>
      <c r="C109" s="17">
        <v>20833</v>
      </c>
      <c r="D109" s="20" t="s">
        <v>5</v>
      </c>
      <c r="E109" s="20" t="s">
        <v>34</v>
      </c>
      <c r="F109" s="20">
        <v>100</v>
      </c>
      <c r="G109" s="16" t="s">
        <v>190</v>
      </c>
      <c r="H109" s="16" t="s">
        <v>256</v>
      </c>
      <c r="I109" s="16" t="s">
        <v>267</v>
      </c>
      <c r="J109" s="21">
        <v>46071</v>
      </c>
      <c r="K109" s="18">
        <v>46072</v>
      </c>
      <c r="L109" s="19" t="str">
        <f>CONCATENATE(NETWORKDAYS(Consumo_Mensal!$J109, Consumo_Mensal!$K109)-1, " dia")</f>
        <v>1 dia</v>
      </c>
      <c r="M109" s="23">
        <f>IFERROR(Consumo_Mensal!$F109*VLOOKUP(Consumo_Mensal!$E109,TBEstoque[[DESCRIÇÃO]:[VALOR UNIT. (R$)]],7,0), 0)</f>
        <v>51.749999999999993</v>
      </c>
    </row>
    <row r="110" spans="2:13" ht="16.8" hidden="1">
      <c r="B110" s="20" t="str">
        <f>"PED-" &amp; Consumo_Mensal!$H110 &amp; "-" &amp; TEXT(Consumo_Mensal!$J110, "ddmmaa")</f>
        <v>PED-Farmácia Satélite - Unidade 02-180226</v>
      </c>
      <c r="C110" s="17">
        <v>20832</v>
      </c>
      <c r="D110" s="20" t="s">
        <v>5</v>
      </c>
      <c r="E110" s="20" t="s">
        <v>33</v>
      </c>
      <c r="F110" s="20">
        <v>50</v>
      </c>
      <c r="G110" s="16" t="s">
        <v>190</v>
      </c>
      <c r="H110" s="16" t="s">
        <v>256</v>
      </c>
      <c r="I110" s="16" t="s">
        <v>267</v>
      </c>
      <c r="J110" s="21">
        <v>46071</v>
      </c>
      <c r="K110" s="18">
        <v>46072</v>
      </c>
      <c r="L110" s="19" t="str">
        <f>CONCATENATE(NETWORKDAYS(Consumo_Mensal!$J110, Consumo_Mensal!$K110)-1, " dia")</f>
        <v>1 dia</v>
      </c>
      <c r="M110" s="23">
        <f>IFERROR(Consumo_Mensal!$F110*VLOOKUP(Consumo_Mensal!$E110,TBEstoque[[DESCRIÇÃO]:[VALOR UNIT. (R$)]],7,0), 0)</f>
        <v>41.974999999999994</v>
      </c>
    </row>
    <row r="111" spans="2:13" ht="16.8" hidden="1">
      <c r="B111" s="20" t="str">
        <f>"PED-" &amp; Consumo_Mensal!$H111 &amp; "-" &amp; TEXT(Consumo_Mensal!$J111, "ddmmaa")</f>
        <v>PED-Farmácia Satélite - Unidade 02-180226</v>
      </c>
      <c r="C111" s="17">
        <v>20826</v>
      </c>
      <c r="D111" s="20" t="s">
        <v>5</v>
      </c>
      <c r="E111" s="20" t="s">
        <v>36</v>
      </c>
      <c r="F111" s="20">
        <v>20</v>
      </c>
      <c r="G111" s="20" t="s">
        <v>189</v>
      </c>
      <c r="H111" s="16" t="s">
        <v>256</v>
      </c>
      <c r="I111" s="16" t="s">
        <v>267</v>
      </c>
      <c r="J111" s="21">
        <v>46071</v>
      </c>
      <c r="K111" s="18">
        <v>46072</v>
      </c>
      <c r="L111" s="19" t="str">
        <f>CONCATENATE(NETWORKDAYS(Consumo_Mensal!$J111, Consumo_Mensal!$K111)-1, " dia")</f>
        <v>1 dia</v>
      </c>
      <c r="M111" s="23">
        <f>IFERROR(Consumo_Mensal!$F111*VLOOKUP(Consumo_Mensal!$E111,TBEstoque[[DESCRIÇÃO]:[VALOR UNIT. (R$)]],7,0), 0)</f>
        <v>27.369999999999997</v>
      </c>
    </row>
    <row r="112" spans="2:13" ht="16.8" hidden="1">
      <c r="B112" s="20" t="str">
        <f>"PED-" &amp; Consumo_Mensal!$H112 &amp; "-" &amp; TEXT(Consumo_Mensal!$J112, "ddmmaa")</f>
        <v>PED-Farmácia Satélite - Unidade 02-180226</v>
      </c>
      <c r="C112" s="17">
        <v>20836</v>
      </c>
      <c r="D112" s="20" t="s">
        <v>5</v>
      </c>
      <c r="E112" s="20" t="s">
        <v>62</v>
      </c>
      <c r="F112" s="20">
        <v>5</v>
      </c>
      <c r="G112" s="20" t="s">
        <v>186</v>
      </c>
      <c r="H112" s="16" t="s">
        <v>256</v>
      </c>
      <c r="I112" s="16" t="s">
        <v>267</v>
      </c>
      <c r="J112" s="21">
        <v>46071</v>
      </c>
      <c r="K112" s="18">
        <v>46072</v>
      </c>
      <c r="L112" s="19" t="str">
        <f>CONCATENATE(NETWORKDAYS(Consumo_Mensal!$J112, Consumo_Mensal!$K112)-1, " dia")</f>
        <v>1 dia</v>
      </c>
      <c r="M112" s="23">
        <f>IFERROR(Consumo_Mensal!$F112*VLOOKUP(Consumo_Mensal!$E112,TBEstoque[[DESCRIÇÃO]:[VALOR UNIT. (R$)]],7,0), 0)</f>
        <v>0</v>
      </c>
    </row>
    <row r="113" spans="2:13" ht="16.8" hidden="1">
      <c r="B113" s="16" t="str">
        <f>"PED-" &amp; Consumo_Mensal!$H113 &amp; "-" &amp; TEXT(Consumo_Mensal!$J113, "ddmmaa")</f>
        <v>PED-Farmácia Principal - Unidade 01-230226</v>
      </c>
      <c r="C113" s="17">
        <v>20846</v>
      </c>
      <c r="D113" s="16" t="s">
        <v>5</v>
      </c>
      <c r="E113" s="16" t="s">
        <v>35</v>
      </c>
      <c r="F113" s="16">
        <v>3</v>
      </c>
      <c r="G113" s="20" t="s">
        <v>186</v>
      </c>
      <c r="H113" s="16" t="s">
        <v>263</v>
      </c>
      <c r="I113" s="16" t="s">
        <v>275</v>
      </c>
      <c r="J113" s="18">
        <v>46076</v>
      </c>
      <c r="K113" s="18">
        <v>46076</v>
      </c>
      <c r="L113" s="19" t="str">
        <f>CONCATENATE(NETWORKDAYS(Consumo_Mensal!$J113, Consumo_Mensal!$K113)-1, " dia")</f>
        <v>0 dia</v>
      </c>
      <c r="M113" s="23">
        <f>IFERROR(Consumo_Mensal!$F113*VLOOKUP(Consumo_Mensal!$E113,TBEstoque[[DESCRIÇÃO]:[VALOR UNIT. (R$)]],7,0), 0)</f>
        <v>5.2784999999999993</v>
      </c>
    </row>
    <row r="114" spans="2:13" ht="16.8" hidden="1">
      <c r="B114" s="16" t="str">
        <f>"PED-" &amp; Consumo_Mensal!$H114 &amp; "-" &amp; TEXT(Consumo_Mensal!$J114, "ddmmaa")</f>
        <v>PED-Farmácia Principal - Unidade 01-230226</v>
      </c>
      <c r="C114" s="17">
        <v>20842</v>
      </c>
      <c r="D114" s="16" t="s">
        <v>5</v>
      </c>
      <c r="E114" s="16" t="s">
        <v>71</v>
      </c>
      <c r="F114" s="16">
        <v>1</v>
      </c>
      <c r="G114" s="16" t="s">
        <v>183</v>
      </c>
      <c r="H114" s="16" t="s">
        <v>263</v>
      </c>
      <c r="I114" s="16" t="s">
        <v>275</v>
      </c>
      <c r="J114" s="18">
        <v>46076</v>
      </c>
      <c r="K114" s="18">
        <v>46076</v>
      </c>
      <c r="L114" s="19" t="str">
        <f>CONCATENATE(NETWORKDAYS(Consumo_Mensal!$J114, Consumo_Mensal!$K114)-1, " dia")</f>
        <v>0 dia</v>
      </c>
      <c r="M114" s="23">
        <f>IFERROR(Consumo_Mensal!$F114*VLOOKUP(Consumo_Mensal!$E114,TBEstoque[[DESCRIÇÃO]:[VALOR UNIT. (R$)]],7,0), 0)</f>
        <v>42.538499999999999</v>
      </c>
    </row>
    <row r="115" spans="2:13" ht="16.8" hidden="1">
      <c r="B115" s="16" t="str">
        <f>"PED-" &amp; Consumo_Mensal!$H115 &amp; "-" &amp; TEXT(Consumo_Mensal!$J115, "ddmmaa")</f>
        <v>PED-Farmácia Satélite - Unidade 05-240226</v>
      </c>
      <c r="C115" s="17">
        <v>20833</v>
      </c>
      <c r="D115" s="16" t="s">
        <v>5</v>
      </c>
      <c r="E115" s="16" t="s">
        <v>34</v>
      </c>
      <c r="F115" s="16">
        <v>150</v>
      </c>
      <c r="G115" s="16" t="s">
        <v>190</v>
      </c>
      <c r="H115" s="16" t="s">
        <v>262</v>
      </c>
      <c r="I115" s="16" t="s">
        <v>276</v>
      </c>
      <c r="J115" s="18">
        <v>46077</v>
      </c>
      <c r="K115" s="18">
        <v>46077</v>
      </c>
      <c r="L115" s="19" t="str">
        <f>CONCATENATE(NETWORKDAYS(Consumo_Mensal!$J115, Consumo_Mensal!$K115)-1, " dia")</f>
        <v>0 dia</v>
      </c>
      <c r="M115" s="23">
        <f>IFERROR(Consumo_Mensal!$F115*VLOOKUP(Consumo_Mensal!$E115,TBEstoque[[DESCRIÇÃO]:[VALOR UNIT. (R$)]],7,0), 0)</f>
        <v>77.625</v>
      </c>
    </row>
    <row r="116" spans="2:13" ht="16.8" hidden="1">
      <c r="B116" s="20" t="str">
        <f>"PED-" &amp; Consumo_Mensal!$H116 &amp; "-" &amp; TEXT(Consumo_Mensal!$J116, "ddmmaa")</f>
        <v>PED-Farmácia Satélite - Unidade 02-260226</v>
      </c>
      <c r="C116" s="17">
        <v>20833</v>
      </c>
      <c r="D116" s="20" t="s">
        <v>5</v>
      </c>
      <c r="E116" s="20" t="s">
        <v>34</v>
      </c>
      <c r="F116" s="20">
        <v>100</v>
      </c>
      <c r="G116" s="16" t="s">
        <v>190</v>
      </c>
      <c r="H116" s="16" t="s">
        <v>256</v>
      </c>
      <c r="I116" s="16" t="s">
        <v>267</v>
      </c>
      <c r="J116" s="21">
        <v>46079</v>
      </c>
      <c r="K116" s="18">
        <v>46079</v>
      </c>
      <c r="L116" s="19" t="str">
        <f>CONCATENATE(NETWORKDAYS(Consumo_Mensal!$J116, Consumo_Mensal!$K116)-1, " dia")</f>
        <v>0 dia</v>
      </c>
      <c r="M116" s="23">
        <f>IFERROR(Consumo_Mensal!$F116*VLOOKUP(Consumo_Mensal!$E116,TBEstoque[[DESCRIÇÃO]:[VALOR UNIT. (R$)]],7,0), 0)</f>
        <v>51.749999999999993</v>
      </c>
    </row>
    <row r="117" spans="2:13" ht="16.8" hidden="1">
      <c r="B117" s="20" t="str">
        <f>"PED-" &amp; Consumo_Mensal!$H117 &amp; "-" &amp; TEXT(Consumo_Mensal!$J117, "ddmmaa")</f>
        <v>PED-Farmácia Satélite - Unidade 02-260226</v>
      </c>
      <c r="C117" s="17">
        <v>20832</v>
      </c>
      <c r="D117" s="20" t="s">
        <v>5</v>
      </c>
      <c r="E117" s="20" t="s">
        <v>33</v>
      </c>
      <c r="F117" s="20">
        <v>50</v>
      </c>
      <c r="G117" s="16" t="s">
        <v>190</v>
      </c>
      <c r="H117" s="16" t="s">
        <v>256</v>
      </c>
      <c r="I117" s="16" t="s">
        <v>267</v>
      </c>
      <c r="J117" s="21">
        <v>46079</v>
      </c>
      <c r="K117" s="18">
        <v>46079</v>
      </c>
      <c r="L117" s="19" t="str">
        <f>CONCATENATE(NETWORKDAYS(Consumo_Mensal!$J117, Consumo_Mensal!$K117)-1, " dia")</f>
        <v>0 dia</v>
      </c>
      <c r="M117" s="23">
        <f>IFERROR(Consumo_Mensal!$F117*VLOOKUP(Consumo_Mensal!$E117,TBEstoque[[DESCRIÇÃO]:[VALOR UNIT. (R$)]],7,0), 0)</f>
        <v>41.974999999999994</v>
      </c>
    </row>
    <row r="118" spans="2:13" ht="16.8" hidden="1">
      <c r="B118" s="20" t="str">
        <f>"PED-" &amp; Consumo_Mensal!$H118 &amp; "-" &amp; TEXT(Consumo_Mensal!$J118, "ddmmaa")</f>
        <v>PED-Farmácia Satélite - Unidade 02-260226</v>
      </c>
      <c r="C118" s="17">
        <v>20826</v>
      </c>
      <c r="D118" s="20" t="s">
        <v>5</v>
      </c>
      <c r="E118" s="20" t="s">
        <v>37</v>
      </c>
      <c r="F118" s="20">
        <v>10</v>
      </c>
      <c r="G118" s="16" t="s">
        <v>187</v>
      </c>
      <c r="H118" s="16" t="s">
        <v>256</v>
      </c>
      <c r="I118" s="16" t="s">
        <v>267</v>
      </c>
      <c r="J118" s="21">
        <v>46079</v>
      </c>
      <c r="K118" s="18">
        <v>46079</v>
      </c>
      <c r="L118" s="19" t="str">
        <f>CONCATENATE(NETWORKDAYS(Consumo_Mensal!$J118, Consumo_Mensal!$K118)-1, " dia")</f>
        <v>0 dia</v>
      </c>
      <c r="M118" s="23">
        <f>IFERROR(Consumo_Mensal!$F118*VLOOKUP(Consumo_Mensal!$E118,TBEstoque[[DESCRIÇÃO]:[VALOR UNIT. (R$)]],7,0), 0)</f>
        <v>55.43</v>
      </c>
    </row>
    <row r="119" spans="2:13" ht="16.8" hidden="1">
      <c r="B119" s="16" t="str">
        <f>"PED-" &amp; Consumo_Mensal!$H119 &amp; "-" &amp; TEXT(Consumo_Mensal!$J119, "ddmmaa")</f>
        <v>PED-Farmácia Principal - Unidade 01-020326</v>
      </c>
      <c r="C119" s="17">
        <v>20833</v>
      </c>
      <c r="D119" s="16" t="s">
        <v>5</v>
      </c>
      <c r="E119" s="16" t="s">
        <v>34</v>
      </c>
      <c r="F119" s="16">
        <v>50</v>
      </c>
      <c r="G119" s="16" t="s">
        <v>190</v>
      </c>
      <c r="H119" s="16" t="s">
        <v>263</v>
      </c>
      <c r="I119" s="16" t="s">
        <v>275</v>
      </c>
      <c r="J119" s="18">
        <v>46083</v>
      </c>
      <c r="K119" s="18">
        <v>46083</v>
      </c>
      <c r="L119" s="19" t="str">
        <f>CONCATENATE(NETWORKDAYS(Consumo_Mensal!$J119, Consumo_Mensal!$K119)-1, " dia")</f>
        <v>0 dia</v>
      </c>
      <c r="M119" s="23">
        <f>IFERROR(Consumo_Mensal!$F119*VLOOKUP(Consumo_Mensal!$E119,TBEstoque[[DESCRIÇÃO]:[VALOR UNIT. (R$)]],7,0), 0)</f>
        <v>25.874999999999996</v>
      </c>
    </row>
    <row r="120" spans="2:13" ht="16.8" hidden="1">
      <c r="B120" s="16" t="str">
        <f>"PED-" &amp; Consumo_Mensal!$H120 &amp; "-" &amp; TEXT(Consumo_Mensal!$J120, "ddmmaa")</f>
        <v>PED-Farmácia Principal - Unidade 01-020326</v>
      </c>
      <c r="C120" s="17">
        <v>20826</v>
      </c>
      <c r="D120" s="16" t="s">
        <v>5</v>
      </c>
      <c r="E120" s="16" t="s">
        <v>37</v>
      </c>
      <c r="F120" s="16">
        <v>20</v>
      </c>
      <c r="G120" s="16" t="s">
        <v>187</v>
      </c>
      <c r="H120" s="16" t="s">
        <v>263</v>
      </c>
      <c r="I120" s="16" t="s">
        <v>275</v>
      </c>
      <c r="J120" s="18">
        <v>46083</v>
      </c>
      <c r="K120" s="18">
        <v>46083</v>
      </c>
      <c r="L120" s="19" t="str">
        <f>CONCATENATE(NETWORKDAYS(Consumo_Mensal!$J120, Consumo_Mensal!$K120)-1, " dia")</f>
        <v>0 dia</v>
      </c>
      <c r="M120" s="23">
        <f>IFERROR(Consumo_Mensal!$F120*VLOOKUP(Consumo_Mensal!$E120,TBEstoque[[DESCRIÇÃO]:[VALOR UNIT. (R$)]],7,0), 0)</f>
        <v>110.86</v>
      </c>
    </row>
    <row r="121" spans="2:13" ht="16.8" hidden="1">
      <c r="B121" s="16" t="str">
        <f>"PED-" &amp; Consumo_Mensal!$H121 &amp; "-" &amp; TEXT(Consumo_Mensal!$J121, "ddmmaa")</f>
        <v>PED-CD Logística - Regional ABC-020326</v>
      </c>
      <c r="C121" s="17">
        <v>20838</v>
      </c>
      <c r="D121" s="16" t="s">
        <v>5</v>
      </c>
      <c r="E121" s="16" t="s">
        <v>76</v>
      </c>
      <c r="F121" s="16">
        <v>144</v>
      </c>
      <c r="G121" s="20" t="s">
        <v>186</v>
      </c>
      <c r="H121" s="16" t="s">
        <v>255</v>
      </c>
      <c r="I121" s="16" t="s">
        <v>278</v>
      </c>
      <c r="J121" s="18">
        <v>46083</v>
      </c>
      <c r="K121" s="18">
        <v>46083</v>
      </c>
      <c r="L121" s="19" t="str">
        <f>CONCATENATE(NETWORKDAYS(Consumo_Mensal!$J121, Consumo_Mensal!$K121)-1, " dia")</f>
        <v>0 dia</v>
      </c>
      <c r="M121" s="23">
        <f>IFERROR(Consumo_Mensal!$F121*VLOOKUP(Consumo_Mensal!$E121,TBEstoque[[DESCRIÇÃO]:[VALOR UNIT. (R$)]],7,0), 0)</f>
        <v>3567.0239999999994</v>
      </c>
    </row>
    <row r="122" spans="2:13" ht="16.8" hidden="1">
      <c r="B122" s="16" t="str">
        <f>"PED-" &amp; Consumo_Mensal!$H122 &amp; "-" &amp; TEXT(Consumo_Mensal!$J122, "ddmmaa")</f>
        <v>PED-CD Logística - Regional ABC-020326</v>
      </c>
      <c r="C122" s="17">
        <v>20825</v>
      </c>
      <c r="D122" s="16" t="s">
        <v>5</v>
      </c>
      <c r="E122" s="16" t="s">
        <v>77</v>
      </c>
      <c r="F122" s="16">
        <v>2400</v>
      </c>
      <c r="G122" s="20" t="s">
        <v>186</v>
      </c>
      <c r="H122" s="16" t="s">
        <v>255</v>
      </c>
      <c r="I122" s="16" t="s">
        <v>278</v>
      </c>
      <c r="J122" s="18">
        <v>46083</v>
      </c>
      <c r="K122" s="18">
        <v>46083</v>
      </c>
      <c r="L122" s="19" t="str">
        <f>CONCATENATE(NETWORKDAYS(Consumo_Mensal!$J122, Consumo_Mensal!$K122)-1, " dia")</f>
        <v>0 dia</v>
      </c>
      <c r="M122" s="23">
        <f>IFERROR(Consumo_Mensal!$F122*VLOOKUP(Consumo_Mensal!$E122,TBEstoque[[DESCRIÇÃO]:[VALOR UNIT. (R$)]],7,0), 0)</f>
        <v>2152.7999999999997</v>
      </c>
    </row>
    <row r="123" spans="2:13" ht="16.8" hidden="1">
      <c r="B123" s="16" t="str">
        <f>"PED-" &amp; Consumo_Mensal!$H123 &amp; "-" &amp; TEXT(Consumo_Mensal!$J123, "ddmmaa")</f>
        <v>PED-CD Logística - Regional ABC-020326</v>
      </c>
      <c r="C123" s="17">
        <v>20826</v>
      </c>
      <c r="D123" s="16" t="s">
        <v>5</v>
      </c>
      <c r="E123" s="16" t="s">
        <v>36</v>
      </c>
      <c r="F123" s="16">
        <v>1800</v>
      </c>
      <c r="G123" s="16" t="s">
        <v>190</v>
      </c>
      <c r="H123" s="16" t="s">
        <v>255</v>
      </c>
      <c r="I123" s="16" t="s">
        <v>278</v>
      </c>
      <c r="J123" s="18">
        <v>46083</v>
      </c>
      <c r="K123" s="18">
        <v>46083</v>
      </c>
      <c r="L123" s="19" t="str">
        <f>CONCATENATE(NETWORKDAYS(Consumo_Mensal!$J123, Consumo_Mensal!$K123)-1, " dia")</f>
        <v>0 dia</v>
      </c>
      <c r="M123" s="23">
        <f>IFERROR(Consumo_Mensal!$F123*VLOOKUP(Consumo_Mensal!$E123,TBEstoque[[DESCRIÇÃO]:[VALOR UNIT. (R$)]],7,0), 0)</f>
        <v>2463.2999999999997</v>
      </c>
    </row>
    <row r="124" spans="2:13" ht="16.8" hidden="1">
      <c r="B124" s="16" t="str">
        <f>"PED-" &amp; Consumo_Mensal!$H124 &amp; "-" &amp; TEXT(Consumo_Mensal!$J124, "ddmmaa")</f>
        <v>PED-CD Logística - Regional ABC-020326</v>
      </c>
      <c r="C124" s="17">
        <v>20844</v>
      </c>
      <c r="D124" s="16" t="s">
        <v>5</v>
      </c>
      <c r="E124" s="16" t="s">
        <v>78</v>
      </c>
      <c r="F124" s="16">
        <v>120</v>
      </c>
      <c r="G124" s="16" t="s">
        <v>191</v>
      </c>
      <c r="H124" s="16" t="s">
        <v>255</v>
      </c>
      <c r="I124" s="16" t="s">
        <v>278</v>
      </c>
      <c r="J124" s="18">
        <v>46083</v>
      </c>
      <c r="K124" s="18">
        <v>46083</v>
      </c>
      <c r="L124" s="19" t="str">
        <f>CONCATENATE(NETWORKDAYS(Consumo_Mensal!$J124, Consumo_Mensal!$K124)-1, " dia")</f>
        <v>0 dia</v>
      </c>
      <c r="M124" s="23">
        <f>IFERROR(Consumo_Mensal!$F124*VLOOKUP(Consumo_Mensal!$E124,TBEstoque[[DESCRIÇÃO]:[VALOR UNIT. (R$)]],7,0), 0)</f>
        <v>616.8599999999999</v>
      </c>
    </row>
    <row r="125" spans="2:13" ht="16.8" hidden="1">
      <c r="B125" s="16" t="str">
        <f>"PED-" &amp; Consumo_Mensal!$H125 &amp; "-" &amp; TEXT(Consumo_Mensal!$J125, "ddmmaa")</f>
        <v>PED-CD Logística - Regional ABC-020326</v>
      </c>
      <c r="C125" s="17">
        <v>20829</v>
      </c>
      <c r="D125" s="16" t="s">
        <v>5</v>
      </c>
      <c r="E125" s="16" t="s">
        <v>79</v>
      </c>
      <c r="F125" s="16">
        <v>96</v>
      </c>
      <c r="G125" s="20" t="s">
        <v>186</v>
      </c>
      <c r="H125" s="16" t="s">
        <v>255</v>
      </c>
      <c r="I125" s="16" t="s">
        <v>278</v>
      </c>
      <c r="J125" s="18">
        <v>46083</v>
      </c>
      <c r="K125" s="18">
        <v>46083</v>
      </c>
      <c r="L125" s="19" t="str">
        <f>CONCATENATE(NETWORKDAYS(Consumo_Mensal!$J125, Consumo_Mensal!$K125)-1, " dia")</f>
        <v>0 dia</v>
      </c>
      <c r="M125" s="23">
        <f>IFERROR(Consumo_Mensal!$F125*VLOOKUP(Consumo_Mensal!$E125,TBEstoque[[DESCRIÇÃO]:[VALOR UNIT. (R$)]],7,0), 0)</f>
        <v>463.68</v>
      </c>
    </row>
    <row r="126" spans="2:13" ht="16.8" hidden="1">
      <c r="B126" s="16" t="str">
        <f>"PED-" &amp; Consumo_Mensal!$H126 &amp; "-" &amp; TEXT(Consumo_Mensal!$J126, "ddmmaa")</f>
        <v>PED-CD Logística - Regional ABC-020326</v>
      </c>
      <c r="C126" s="17">
        <v>20830</v>
      </c>
      <c r="D126" s="16" t="s">
        <v>5</v>
      </c>
      <c r="E126" s="16" t="s">
        <v>80</v>
      </c>
      <c r="F126" s="16">
        <v>48</v>
      </c>
      <c r="G126" s="20" t="s">
        <v>186</v>
      </c>
      <c r="H126" s="16" t="s">
        <v>255</v>
      </c>
      <c r="I126" s="16" t="s">
        <v>278</v>
      </c>
      <c r="J126" s="18">
        <v>46083</v>
      </c>
      <c r="K126" s="18">
        <v>46083</v>
      </c>
      <c r="L126" s="19" t="str">
        <f>CONCATENATE(NETWORKDAYS(Consumo_Mensal!$J126, Consumo_Mensal!$K126)-1, " dia")</f>
        <v>0 dia</v>
      </c>
      <c r="M126" s="23">
        <f>IFERROR(Consumo_Mensal!$F126*VLOOKUP(Consumo_Mensal!$E126,TBEstoque[[DESCRIÇÃO]:[VALOR UNIT. (R$)]],7,0), 0)</f>
        <v>305.25599999999997</v>
      </c>
    </row>
    <row r="127" spans="2:13" ht="16.8" hidden="1">
      <c r="B127" s="16" t="str">
        <f>"PED-" &amp; Consumo_Mensal!$H127 &amp; "-" &amp; TEXT(Consumo_Mensal!$J127, "ddmmaa")</f>
        <v>PED-CD Logística - Regional ABC-020326</v>
      </c>
      <c r="C127" s="17">
        <v>20836</v>
      </c>
      <c r="D127" s="16" t="s">
        <v>5</v>
      </c>
      <c r="E127" s="16" t="s">
        <v>62</v>
      </c>
      <c r="F127" s="16">
        <v>30</v>
      </c>
      <c r="G127" s="20" t="s">
        <v>186</v>
      </c>
      <c r="H127" s="16" t="s">
        <v>255</v>
      </c>
      <c r="I127" s="16" t="s">
        <v>278</v>
      </c>
      <c r="J127" s="18">
        <v>46083</v>
      </c>
      <c r="K127" s="18">
        <v>46083</v>
      </c>
      <c r="L127" s="19" t="str">
        <f>CONCATENATE(NETWORKDAYS(Consumo_Mensal!$J127, Consumo_Mensal!$K127)-1, " dia")</f>
        <v>0 dia</v>
      </c>
      <c r="M127" s="23">
        <f>IFERROR(Consumo_Mensal!$F127*VLOOKUP(Consumo_Mensal!$E127,TBEstoque[[DESCRIÇÃO]:[VALOR UNIT. (R$)]],7,0), 0)</f>
        <v>0</v>
      </c>
    </row>
    <row r="128" spans="2:13" ht="16.8" hidden="1">
      <c r="B128" s="16" t="str">
        <f>"PED-" &amp; Consumo_Mensal!$H128 &amp; "-" &amp; TEXT(Consumo_Mensal!$J128, "ddmmaa")</f>
        <v>PED-CD Logística - Regional ABC-030326</v>
      </c>
      <c r="C128" s="17">
        <v>20835</v>
      </c>
      <c r="D128" s="16" t="s">
        <v>5</v>
      </c>
      <c r="E128" s="16" t="s">
        <v>84</v>
      </c>
      <c r="F128" s="16">
        <v>20000</v>
      </c>
      <c r="G128" s="20" t="s">
        <v>186</v>
      </c>
      <c r="H128" s="16" t="s">
        <v>255</v>
      </c>
      <c r="I128" s="16" t="s">
        <v>279</v>
      </c>
      <c r="J128" s="18">
        <v>46084</v>
      </c>
      <c r="K128" s="18">
        <v>46085</v>
      </c>
      <c r="L128" s="19" t="str">
        <f>CONCATENATE(NETWORKDAYS(Consumo_Mensal!$J128, Consumo_Mensal!$K128)-1, " dia")</f>
        <v>1 dia</v>
      </c>
      <c r="M128" s="23">
        <f>IFERROR(Consumo_Mensal!$F128*VLOOKUP(Consumo_Mensal!$E128,TBEstoque[[DESCRIÇÃO]:[VALOR UNIT. (R$)]],7,0), 0)</f>
        <v>3220</v>
      </c>
    </row>
    <row r="129" spans="2:13" ht="16.8" hidden="1">
      <c r="B129" s="16" t="str">
        <f>"PED-" &amp; Consumo_Mensal!$H129 &amp; "-" &amp; TEXT(Consumo_Mensal!$J129, "ddmmaa")</f>
        <v>PED-Farmácia Satélite - Unidade 05-040326</v>
      </c>
      <c r="C129" s="17">
        <v>20826</v>
      </c>
      <c r="D129" s="16" t="s">
        <v>5</v>
      </c>
      <c r="E129" s="16" t="s">
        <v>37</v>
      </c>
      <c r="F129" s="16">
        <v>20</v>
      </c>
      <c r="G129" s="16" t="s">
        <v>187</v>
      </c>
      <c r="H129" s="16" t="s">
        <v>262</v>
      </c>
      <c r="I129" s="16" t="s">
        <v>276</v>
      </c>
      <c r="J129" s="18">
        <v>46085</v>
      </c>
      <c r="K129" s="18">
        <v>46086</v>
      </c>
      <c r="L129" s="19" t="str">
        <f>CONCATENATE(NETWORKDAYS(Consumo_Mensal!$J129, Consumo_Mensal!$K129)-1, " dia")</f>
        <v>1 dia</v>
      </c>
      <c r="M129" s="23">
        <f>IFERROR(Consumo_Mensal!$F129*VLOOKUP(Consumo_Mensal!$E129,TBEstoque[[DESCRIÇÃO]:[VALOR UNIT. (R$)]],7,0), 0)</f>
        <v>110.86</v>
      </c>
    </row>
    <row r="130" spans="2:13" ht="16.8" hidden="1">
      <c r="B130" s="16" t="str">
        <f>"PED-" &amp; Consumo_Mensal!$H130 &amp; "-" &amp; TEXT(Consumo_Mensal!$J130, "ddmmaa")</f>
        <v>PED-Farmácia Satélite - Unidade 05-040326</v>
      </c>
      <c r="C130" s="17">
        <v>20826</v>
      </c>
      <c r="D130" s="16" t="s">
        <v>5</v>
      </c>
      <c r="E130" s="16" t="s">
        <v>36</v>
      </c>
      <c r="F130" s="16">
        <v>50</v>
      </c>
      <c r="G130" s="16" t="s">
        <v>190</v>
      </c>
      <c r="H130" s="16" t="s">
        <v>262</v>
      </c>
      <c r="I130" s="16" t="s">
        <v>276</v>
      </c>
      <c r="J130" s="18">
        <v>46085</v>
      </c>
      <c r="K130" s="18">
        <v>46086</v>
      </c>
      <c r="L130" s="19" t="str">
        <f>CONCATENATE(NETWORKDAYS(Consumo_Mensal!$J130, Consumo_Mensal!$K130)-1, " dia")</f>
        <v>1 dia</v>
      </c>
      <c r="M130" s="23">
        <f>IFERROR(Consumo_Mensal!$F130*VLOOKUP(Consumo_Mensal!$E130,TBEstoque[[DESCRIÇÃO]:[VALOR UNIT. (R$)]],7,0), 0)</f>
        <v>68.424999999999997</v>
      </c>
    </row>
    <row r="131" spans="2:13" ht="16.8" hidden="1">
      <c r="B131" s="16" t="str">
        <f>"PED-" &amp; Consumo_Mensal!$H131 &amp; "-" &amp; TEXT(Consumo_Mensal!$J131, "ddmmaa")</f>
        <v>PED-Farmácia Satélite - Unidade 05-040326</v>
      </c>
      <c r="C131" s="16">
        <f>INDEX(Materiais_Estoque!$B$5:$B$104, MATCH(TBConsumo[[#This Row],[DESCRIÇÃO]], Materiais_Estoque!$D$5:$D$104, 0))</f>
        <v>20910</v>
      </c>
      <c r="D131" s="16" t="s">
        <v>5</v>
      </c>
      <c r="E131" s="16" t="s">
        <v>85</v>
      </c>
      <c r="F131" s="16">
        <v>50</v>
      </c>
      <c r="G131" s="16" t="s">
        <v>187</v>
      </c>
      <c r="H131" s="16" t="s">
        <v>262</v>
      </c>
      <c r="I131" s="16" t="s">
        <v>276</v>
      </c>
      <c r="J131" s="18">
        <v>46085</v>
      </c>
      <c r="K131" s="18">
        <v>46086</v>
      </c>
      <c r="L131" s="19" t="str">
        <f>CONCATENATE(NETWORKDAYS(Consumo_Mensal!$J131, Consumo_Mensal!$K131)-1, " dia")</f>
        <v>1 dia</v>
      </c>
      <c r="M131" s="23">
        <f>IFERROR(Consumo_Mensal!$F131*VLOOKUP(Consumo_Mensal!$E131,TBEstoque[[DESCRIÇÃO]:[VALOR UNIT. (R$)]],7,0), 0)</f>
        <v>277.15000000000003</v>
      </c>
    </row>
    <row r="132" spans="2:13" ht="16.8">
      <c r="B132" s="16" t="str">
        <f>"PED-" &amp; Consumo_Mensal!$H132 &amp; "-" &amp; TEXT(Consumo_Mensal!$J132, "ddmmaa")</f>
        <v>PED-Planta Industrial - Suprimentos-050326</v>
      </c>
      <c r="C132" s="17">
        <v>20846</v>
      </c>
      <c r="D132" s="16" t="s">
        <v>5</v>
      </c>
      <c r="E132" s="16" t="s">
        <v>35</v>
      </c>
      <c r="F132" s="16">
        <v>24</v>
      </c>
      <c r="G132" s="20" t="s">
        <v>186</v>
      </c>
      <c r="H132" s="16" t="s">
        <v>258</v>
      </c>
      <c r="I132" s="16" t="s">
        <v>280</v>
      </c>
      <c r="J132" s="18">
        <v>46086</v>
      </c>
      <c r="K132" s="18">
        <v>46087</v>
      </c>
      <c r="L132" s="19" t="str">
        <f>CONCATENATE(NETWORKDAYS(Consumo_Mensal!$J132, Consumo_Mensal!$K132)-1, " dia")</f>
        <v>1 dia</v>
      </c>
      <c r="M132" s="23">
        <f>IFERROR(Consumo_Mensal!$F132*VLOOKUP(Consumo_Mensal!$E132,TBEstoque[[DESCRIÇÃO]:[VALOR UNIT. (R$)]],7,0), 0)</f>
        <v>42.227999999999994</v>
      </c>
    </row>
    <row r="133" spans="2:13" ht="16.8" hidden="1">
      <c r="B133" s="16" t="str">
        <f>"PED-" &amp; Consumo_Mensal!$H133 &amp; "-" &amp; TEXT(Consumo_Mensal!$J133, "ddmmaa")</f>
        <v>PED-Farmácia Principal - Unidade 01-090326</v>
      </c>
      <c r="C133" s="17">
        <v>20833</v>
      </c>
      <c r="D133" s="16" t="s">
        <v>5</v>
      </c>
      <c r="E133" s="16" t="s">
        <v>34</v>
      </c>
      <c r="F133" s="16">
        <v>75</v>
      </c>
      <c r="G133" s="16" t="s">
        <v>190</v>
      </c>
      <c r="H133" s="16" t="s">
        <v>263</v>
      </c>
      <c r="I133" s="16" t="s">
        <v>275</v>
      </c>
      <c r="J133" s="18">
        <v>46090</v>
      </c>
      <c r="K133" s="18">
        <v>46090</v>
      </c>
      <c r="L133" s="19" t="str">
        <f>CONCATENATE(NETWORKDAYS(Consumo_Mensal!$J133, Consumo_Mensal!$K133)-1, " dia")</f>
        <v>0 dia</v>
      </c>
      <c r="M133" s="23">
        <f>IFERROR(Consumo_Mensal!$F133*VLOOKUP(Consumo_Mensal!$E133,TBEstoque[[DESCRIÇÃO]:[VALOR UNIT. (R$)]],7,0), 0)</f>
        <v>38.8125</v>
      </c>
    </row>
    <row r="134" spans="2:13" ht="16.8" hidden="1">
      <c r="B134" s="16" t="str">
        <f>"PED-" &amp; Consumo_Mensal!$H134 &amp; "-" &amp; TEXT(Consumo_Mensal!$J134, "ddmmaa")</f>
        <v>PED-Farmácia Principal - Unidade 01-090326</v>
      </c>
      <c r="C134" s="17">
        <v>20846</v>
      </c>
      <c r="D134" s="16" t="s">
        <v>5</v>
      </c>
      <c r="E134" s="16" t="s">
        <v>35</v>
      </c>
      <c r="F134" s="16">
        <v>3</v>
      </c>
      <c r="G134" s="20" t="s">
        <v>186</v>
      </c>
      <c r="H134" s="16" t="s">
        <v>263</v>
      </c>
      <c r="I134" s="16" t="s">
        <v>275</v>
      </c>
      <c r="J134" s="18">
        <v>46090</v>
      </c>
      <c r="K134" s="18">
        <v>46090</v>
      </c>
      <c r="L134" s="19" t="str">
        <f>CONCATENATE(NETWORKDAYS(Consumo_Mensal!$J134, Consumo_Mensal!$K134)-1, " dia")</f>
        <v>0 dia</v>
      </c>
      <c r="M134" s="23">
        <f>IFERROR(Consumo_Mensal!$F134*VLOOKUP(Consumo_Mensal!$E134,TBEstoque[[DESCRIÇÃO]:[VALOR UNIT. (R$)]],7,0), 0)</f>
        <v>5.2784999999999993</v>
      </c>
    </row>
    <row r="135" spans="2:13" ht="16.8" hidden="1">
      <c r="B135" s="20" t="str">
        <f>"PED-" &amp; Consumo_Mensal!$H135 &amp; "-" &amp; TEXT(Consumo_Mensal!$J135, "ddmmaa")</f>
        <v>PED-Farmácia Satélite - Unidade 02-090326</v>
      </c>
      <c r="C135" s="17">
        <v>20833</v>
      </c>
      <c r="D135" s="20" t="s">
        <v>5</v>
      </c>
      <c r="E135" s="20" t="s">
        <v>34</v>
      </c>
      <c r="F135" s="20">
        <v>100</v>
      </c>
      <c r="G135" s="16" t="s">
        <v>190</v>
      </c>
      <c r="H135" s="16" t="s">
        <v>256</v>
      </c>
      <c r="I135" s="16" t="s">
        <v>267</v>
      </c>
      <c r="J135" s="21">
        <v>46090</v>
      </c>
      <c r="K135" s="21">
        <v>46091</v>
      </c>
      <c r="L135" s="19" t="str">
        <f>CONCATENATE(NETWORKDAYS(Consumo_Mensal!$J135, Consumo_Mensal!$K135)-1, " dia")</f>
        <v>1 dia</v>
      </c>
      <c r="M135" s="23">
        <f>IFERROR(Consumo_Mensal!$F135*VLOOKUP(Consumo_Mensal!$E135,TBEstoque[[DESCRIÇÃO]:[VALOR UNIT. (R$)]],7,0), 0)</f>
        <v>51.749999999999993</v>
      </c>
    </row>
    <row r="136" spans="2:13" ht="16.8" hidden="1">
      <c r="B136" s="20" t="str">
        <f>"PED-" &amp; Consumo_Mensal!$H136 &amp; "-" &amp; TEXT(Consumo_Mensal!$J136, "ddmmaa")</f>
        <v>PED-Farmácia Satélite - Unidade 02-090326</v>
      </c>
      <c r="C136" s="17">
        <v>20832</v>
      </c>
      <c r="D136" s="20" t="s">
        <v>5</v>
      </c>
      <c r="E136" s="20" t="s">
        <v>33</v>
      </c>
      <c r="F136" s="20">
        <v>100</v>
      </c>
      <c r="G136" s="16" t="s">
        <v>190</v>
      </c>
      <c r="H136" s="16" t="s">
        <v>256</v>
      </c>
      <c r="I136" s="16" t="s">
        <v>267</v>
      </c>
      <c r="J136" s="21">
        <v>46090</v>
      </c>
      <c r="K136" s="21">
        <v>46091</v>
      </c>
      <c r="L136" s="19" t="str">
        <f>CONCATENATE(NETWORKDAYS(Consumo_Mensal!$J136, Consumo_Mensal!$K136)-1, " dia")</f>
        <v>1 dia</v>
      </c>
      <c r="M136" s="23">
        <f>IFERROR(Consumo_Mensal!$F136*VLOOKUP(Consumo_Mensal!$E136,TBEstoque[[DESCRIÇÃO]:[VALOR UNIT. (R$)]],7,0), 0)</f>
        <v>83.949999999999989</v>
      </c>
    </row>
    <row r="137" spans="2:13" ht="16.8" hidden="1">
      <c r="B137" s="20" t="str">
        <f>"PED-" &amp; Consumo_Mensal!$H137 &amp; "-" &amp; TEXT(Consumo_Mensal!$J137, "ddmmaa")</f>
        <v>PED-Farmácia Satélite - Unidade 02-090326</v>
      </c>
      <c r="C137" s="17">
        <v>20827</v>
      </c>
      <c r="D137" s="20" t="s">
        <v>5</v>
      </c>
      <c r="E137" s="20" t="s">
        <v>90</v>
      </c>
      <c r="F137" s="20">
        <v>10</v>
      </c>
      <c r="G137" s="16" t="s">
        <v>187</v>
      </c>
      <c r="H137" s="16" t="s">
        <v>256</v>
      </c>
      <c r="I137" s="16" t="s">
        <v>267</v>
      </c>
      <c r="J137" s="21">
        <v>46090</v>
      </c>
      <c r="K137" s="21">
        <v>46091</v>
      </c>
      <c r="L137" s="19" t="str">
        <f>CONCATENATE(NETWORKDAYS(Consumo_Mensal!$J137, Consumo_Mensal!$K137)-1, " dia")</f>
        <v>1 dia</v>
      </c>
      <c r="M137" s="23">
        <f>IFERROR(Consumo_Mensal!$F137*VLOOKUP(Consumo_Mensal!$E137,TBEstoque[[DESCRIÇÃO]:[VALOR UNIT. (R$)]],7,0), 0)</f>
        <v>33.349999999999994</v>
      </c>
    </row>
    <row r="138" spans="2:13" ht="16.8" hidden="1">
      <c r="B138" s="16" t="str">
        <f>"PED-" &amp; Consumo_Mensal!$H138 &amp; "-" &amp; TEXT(Consumo_Mensal!$J138, "ddmmaa")</f>
        <v>PED-Farmácia Satélite - Unidade 05-110326</v>
      </c>
      <c r="C138" s="16">
        <f>INDEX(Materiais_Estoque!$B$5:$B$104, MATCH(TBConsumo[[#This Row],[DESCRIÇÃO]], Materiais_Estoque!$D$5:$D$104, 0))</f>
        <v>20910</v>
      </c>
      <c r="D138" s="16" t="s">
        <v>5</v>
      </c>
      <c r="E138" s="16" t="s">
        <v>85</v>
      </c>
      <c r="F138" s="16">
        <v>50</v>
      </c>
      <c r="G138" s="16" t="s">
        <v>187</v>
      </c>
      <c r="H138" s="16" t="s">
        <v>262</v>
      </c>
      <c r="I138" s="16" t="s">
        <v>276</v>
      </c>
      <c r="J138" s="18">
        <v>46092</v>
      </c>
      <c r="K138" s="18">
        <v>46093</v>
      </c>
      <c r="L138" s="19" t="str">
        <f>CONCATENATE(NETWORKDAYS(Consumo_Mensal!$J138, Consumo_Mensal!$K138)-1, " dia")</f>
        <v>1 dia</v>
      </c>
      <c r="M138" s="23">
        <f>IFERROR(Consumo_Mensal!$F138*VLOOKUP(Consumo_Mensal!$E138,TBEstoque[[DESCRIÇÃO]:[VALOR UNIT. (R$)]],7,0), 0)</f>
        <v>277.15000000000003</v>
      </c>
    </row>
    <row r="139" spans="2:13" ht="16.8" hidden="1">
      <c r="B139" s="16" t="str">
        <f>"PED-" &amp; Consumo_Mensal!$H139 &amp; "-" &amp; TEXT(Consumo_Mensal!$J139, "ddmmaa")</f>
        <v>PED-Farmácia Satélite - Unidade 03-110326</v>
      </c>
      <c r="C139" s="17">
        <v>20842</v>
      </c>
      <c r="D139" s="16" t="s">
        <v>5</v>
      </c>
      <c r="E139" s="16" t="s">
        <v>71</v>
      </c>
      <c r="F139" s="16">
        <v>1</v>
      </c>
      <c r="G139" s="16" t="s">
        <v>183</v>
      </c>
      <c r="H139" s="16" t="s">
        <v>257</v>
      </c>
      <c r="I139" s="16" t="s">
        <v>277</v>
      </c>
      <c r="J139" s="18">
        <v>46092</v>
      </c>
      <c r="K139" s="18">
        <v>46093</v>
      </c>
      <c r="L139" s="19" t="str">
        <f>CONCATENATE(NETWORKDAYS(Consumo_Mensal!$J139, Consumo_Mensal!$K139)-1, " dia")</f>
        <v>1 dia</v>
      </c>
      <c r="M139" s="23">
        <f>IFERROR(Consumo_Mensal!$F139*VLOOKUP(Consumo_Mensal!$E139,TBEstoque[[DESCRIÇÃO]:[VALOR UNIT. (R$)]],7,0), 0)</f>
        <v>42.538499999999999</v>
      </c>
    </row>
    <row r="140" spans="2:13" ht="16.8" hidden="1">
      <c r="B140" s="16" t="str">
        <f>"PED-" &amp; Consumo_Mensal!$H140 &amp; "-" &amp; TEXT(Consumo_Mensal!$J140, "ddmmaa")</f>
        <v>PED-CD Logística - Regional ABC-120326</v>
      </c>
      <c r="C140" s="17">
        <v>20838</v>
      </c>
      <c r="D140" s="16" t="s">
        <v>5</v>
      </c>
      <c r="E140" s="16" t="s">
        <v>76</v>
      </c>
      <c r="F140" s="16">
        <v>216</v>
      </c>
      <c r="G140" s="20" t="s">
        <v>186</v>
      </c>
      <c r="H140" s="16" t="s">
        <v>255</v>
      </c>
      <c r="I140" s="16" t="s">
        <v>279</v>
      </c>
      <c r="J140" s="18">
        <v>46093</v>
      </c>
      <c r="K140" s="18">
        <v>46094</v>
      </c>
      <c r="L140" s="19" t="str">
        <f>CONCATENATE(NETWORKDAYS(Consumo_Mensal!$J140, Consumo_Mensal!$K140)-1, " dia")</f>
        <v>1 dia</v>
      </c>
      <c r="M140" s="23">
        <f>IFERROR(Consumo_Mensal!$F140*VLOOKUP(Consumo_Mensal!$E140,TBEstoque[[DESCRIÇÃO]:[VALOR UNIT. (R$)]],7,0), 0)</f>
        <v>5350.5359999999991</v>
      </c>
    </row>
    <row r="141" spans="2:13" ht="16.8" hidden="1">
      <c r="B141" s="16" t="str">
        <f>"PED-" &amp; Consumo_Mensal!$H141 &amp; "-" &amp; TEXT(Consumo_Mensal!$J141, "ddmmaa")</f>
        <v>PED-Farmácia Principal - Unidade 01-090226</v>
      </c>
      <c r="C141" s="15">
        <v>20903</v>
      </c>
      <c r="D141" s="20" t="s">
        <v>125</v>
      </c>
      <c r="E141" s="16" t="s">
        <v>23</v>
      </c>
      <c r="F141" s="16">
        <v>3</v>
      </c>
      <c r="G141" s="20" t="s">
        <v>186</v>
      </c>
      <c r="H141" s="16" t="s">
        <v>263</v>
      </c>
      <c r="I141" s="16" t="s">
        <v>266</v>
      </c>
      <c r="J141" s="18">
        <v>46062</v>
      </c>
      <c r="K141" s="18">
        <v>46063</v>
      </c>
      <c r="L141" s="19" t="str">
        <f>CONCATENATE(NETWORKDAYS(Consumo_Mensal!$J141, Consumo_Mensal!$K141)-1, " dia")</f>
        <v>1 dia</v>
      </c>
      <c r="M141" s="23">
        <f>IFERROR(Consumo_Mensal!$F141*VLOOKUP(Consumo_Mensal!$E141,TBEstoque[[DESCRIÇÃO]:[VALOR UNIT. (R$)]],7,0), 0)</f>
        <v>393.29999999999995</v>
      </c>
    </row>
    <row r="142" spans="2:13" ht="16.8" hidden="1">
      <c r="B142" s="16" t="str">
        <f>"PED-" &amp; Consumo_Mensal!$H142 &amp; "-" &amp; TEXT(Consumo_Mensal!$J142, "ddmmaa")</f>
        <v>PED-Farmácia Principal - Unidade 01-100226</v>
      </c>
      <c r="C142" s="15">
        <v>20897</v>
      </c>
      <c r="D142" s="20" t="s">
        <v>125</v>
      </c>
      <c r="E142" s="16" t="s">
        <v>27</v>
      </c>
      <c r="F142" s="16">
        <v>5</v>
      </c>
      <c r="G142" s="16" t="s">
        <v>183</v>
      </c>
      <c r="H142" s="16" t="s">
        <v>263</v>
      </c>
      <c r="I142" s="16" t="s">
        <v>281</v>
      </c>
      <c r="J142" s="18">
        <v>46063</v>
      </c>
      <c r="K142" s="18">
        <v>46064</v>
      </c>
      <c r="L142" s="19" t="str">
        <f>CONCATENATE(NETWORKDAYS(Consumo_Mensal!$J142, Consumo_Mensal!$K142)-1, " dia")</f>
        <v>1 dia</v>
      </c>
      <c r="M142" s="23">
        <f>IFERROR(Consumo_Mensal!$F142*VLOOKUP(Consumo_Mensal!$E142,TBEstoque[[DESCRIÇÃO]:[VALOR UNIT. (R$)]],7,0), 0)</f>
        <v>166.74999999999997</v>
      </c>
    </row>
    <row r="143" spans="2:13" ht="16.8" hidden="1">
      <c r="B143" s="16" t="str">
        <f>"PED-" &amp; Consumo_Mensal!$H143 &amp; "-" &amp; TEXT(Consumo_Mensal!$J143, "ddmmaa")</f>
        <v>PED-Farmácia Principal - Unidade 01-100226</v>
      </c>
      <c r="C143" s="15">
        <v>20898</v>
      </c>
      <c r="D143" s="20" t="s">
        <v>125</v>
      </c>
      <c r="E143" s="16" t="s">
        <v>28</v>
      </c>
      <c r="F143" s="16">
        <v>4</v>
      </c>
      <c r="G143" s="16" t="s">
        <v>183</v>
      </c>
      <c r="H143" s="16" t="s">
        <v>263</v>
      </c>
      <c r="I143" s="16" t="s">
        <v>281</v>
      </c>
      <c r="J143" s="18">
        <v>46063</v>
      </c>
      <c r="K143" s="18">
        <v>46064</v>
      </c>
      <c r="L143" s="19" t="str">
        <f>CONCATENATE(NETWORKDAYS(Consumo_Mensal!$J143, Consumo_Mensal!$K143)-1, " dia")</f>
        <v>1 dia</v>
      </c>
      <c r="M143" s="23">
        <f>IFERROR(Consumo_Mensal!$F143*VLOOKUP(Consumo_Mensal!$E143,TBEstoque[[DESCRIÇÃO]:[VALOR UNIT. (R$)]],7,0), 0)</f>
        <v>133.39999999999998</v>
      </c>
    </row>
    <row r="144" spans="2:13" ht="16.8" hidden="1">
      <c r="B144" s="16" t="str">
        <f>"PED-" &amp; Consumo_Mensal!$H144 &amp; "-" &amp; TEXT(Consumo_Mensal!$J144, "ddmmaa")</f>
        <v>PED-Farmácia Principal - Unidade 01-100226</v>
      </c>
      <c r="C144" s="15">
        <v>20896</v>
      </c>
      <c r="D144" s="20" t="s">
        <v>125</v>
      </c>
      <c r="E144" s="16" t="s">
        <v>29</v>
      </c>
      <c r="F144" s="16">
        <v>4</v>
      </c>
      <c r="G144" s="16" t="s">
        <v>183</v>
      </c>
      <c r="H144" s="16" t="s">
        <v>263</v>
      </c>
      <c r="I144" s="16" t="s">
        <v>281</v>
      </c>
      <c r="J144" s="18">
        <v>46063</v>
      </c>
      <c r="K144" s="18">
        <v>46064</v>
      </c>
      <c r="L144" s="19" t="str">
        <f>CONCATENATE(NETWORKDAYS(Consumo_Mensal!$J144, Consumo_Mensal!$K144)-1, " dia")</f>
        <v>1 dia</v>
      </c>
      <c r="M144" s="23">
        <f>IFERROR(Consumo_Mensal!$F144*VLOOKUP(Consumo_Mensal!$E144,TBEstoque[[DESCRIÇÃO]:[VALOR UNIT. (R$)]],7,0), 0)</f>
        <v>133.39999999999998</v>
      </c>
    </row>
    <row r="145" spans="2:13" ht="16.8" hidden="1">
      <c r="B145" s="16" t="str">
        <f>"PED-" &amp; Consumo_Mensal!$H145 &amp; "-" &amp; TEXT(Consumo_Mensal!$J145, "ddmmaa")</f>
        <v>PED-Farmácia Principal - Unidade 01-100226</v>
      </c>
      <c r="C145" s="15">
        <v>20984</v>
      </c>
      <c r="D145" s="20" t="s">
        <v>125</v>
      </c>
      <c r="E145" s="16" t="s">
        <v>30</v>
      </c>
      <c r="F145" s="16">
        <v>20</v>
      </c>
      <c r="G145" s="16" t="s">
        <v>191</v>
      </c>
      <c r="H145" s="16" t="s">
        <v>263</v>
      </c>
      <c r="I145" s="16" t="s">
        <v>281</v>
      </c>
      <c r="J145" s="18">
        <v>46063</v>
      </c>
      <c r="K145" s="18">
        <v>46064</v>
      </c>
      <c r="L145" s="19" t="str">
        <f>CONCATENATE(NETWORKDAYS(Consumo_Mensal!$J145, Consumo_Mensal!$K145)-1, " dia")</f>
        <v>1 dia</v>
      </c>
      <c r="M145" s="23">
        <f>IFERROR(Consumo_Mensal!$F145*VLOOKUP(Consumo_Mensal!$E145,TBEstoque[[DESCRIÇÃO]:[VALOR UNIT. (R$)]],7,0), 0)</f>
        <v>193.89</v>
      </c>
    </row>
    <row r="146" spans="2:13" ht="16.8" hidden="1">
      <c r="B146" s="16" t="str">
        <f>"PED-" &amp; Consumo_Mensal!$H146 &amp; "-" &amp; TEXT(Consumo_Mensal!$J146, "ddmmaa")</f>
        <v>PED-Farmácia Principal - Unidade 01-100226</v>
      </c>
      <c r="C146" s="15">
        <v>20904</v>
      </c>
      <c r="D146" s="20" t="s">
        <v>125</v>
      </c>
      <c r="E146" s="13" t="s">
        <v>120</v>
      </c>
      <c r="F146" s="16">
        <v>10</v>
      </c>
      <c r="G146" s="16" t="s">
        <v>191</v>
      </c>
      <c r="H146" s="16" t="s">
        <v>263</v>
      </c>
      <c r="I146" s="16" t="s">
        <v>281</v>
      </c>
      <c r="J146" s="18">
        <v>46063</v>
      </c>
      <c r="K146" s="18">
        <v>46064</v>
      </c>
      <c r="L146" s="19" t="str">
        <f>CONCATENATE(NETWORKDAYS(Consumo_Mensal!$J146, Consumo_Mensal!$K146)-1, " dia")</f>
        <v>1 dia</v>
      </c>
      <c r="M146" s="23">
        <f>IFERROR(Consumo_Mensal!$F146*VLOOKUP(Consumo_Mensal!$E146,TBEstoque[[DESCRIÇÃO]:[VALOR UNIT. (R$)]],7,0), 0)</f>
        <v>103.27</v>
      </c>
    </row>
    <row r="147" spans="2:13" ht="16.8" hidden="1">
      <c r="B147" s="16" t="str">
        <f>"PED-" &amp; Consumo_Mensal!$H147 &amp; "-" &amp; TEXT(Consumo_Mensal!$J147, "ddmmaa")</f>
        <v>PED-Farmácia Principal - Unidade 01-100226</v>
      </c>
      <c r="C147" s="16">
        <f>INDEX(Materiais_Estoque!$B$5:$B$104, MATCH(TBConsumo[[#This Row],[DESCRIÇÃO]], Materiais_Estoque!$D$5:$D$104, 0))</f>
        <v>20911</v>
      </c>
      <c r="D147" s="20" t="s">
        <v>125</v>
      </c>
      <c r="E147" s="16" t="s">
        <v>31</v>
      </c>
      <c r="F147" s="16">
        <v>75</v>
      </c>
      <c r="G147" s="16" t="s">
        <v>190</v>
      </c>
      <c r="H147" s="16" t="s">
        <v>263</v>
      </c>
      <c r="I147" s="16" t="s">
        <v>275</v>
      </c>
      <c r="J147" s="18">
        <v>46063</v>
      </c>
      <c r="K147" s="18">
        <v>46064</v>
      </c>
      <c r="L147" s="19" t="str">
        <f>CONCATENATE(NETWORKDAYS(Consumo_Mensal!$J147, Consumo_Mensal!$K147)-1, " dia")</f>
        <v>1 dia</v>
      </c>
      <c r="M147" s="23">
        <f>IFERROR(Consumo_Mensal!$F147*VLOOKUP(Consumo_Mensal!$E147,TBEstoque[[DESCRIÇÃO]:[VALOR UNIT. (R$)]],7,0), 0)</f>
        <v>165.6</v>
      </c>
    </row>
    <row r="148" spans="2:13" ht="16.8" hidden="1">
      <c r="B148" s="16" t="str">
        <f>"PED-" &amp; Consumo_Mensal!$H148 &amp; "-" &amp; TEXT(Consumo_Mensal!$J148, "ddmmaa")</f>
        <v>PED-Farmácia Principal - Unidade 01-100226</v>
      </c>
      <c r="C148" s="16">
        <f>INDEX(Materiais_Estoque!$B$5:$B$104, MATCH(TBConsumo[[#This Row],[DESCRIÇÃO]], Materiais_Estoque!$D$5:$D$104, 0))</f>
        <v>20912</v>
      </c>
      <c r="D148" s="20" t="s">
        <v>125</v>
      </c>
      <c r="E148" s="16" t="s">
        <v>32</v>
      </c>
      <c r="F148" s="16">
        <v>100</v>
      </c>
      <c r="G148" s="16" t="s">
        <v>190</v>
      </c>
      <c r="H148" s="16" t="s">
        <v>263</v>
      </c>
      <c r="I148" s="16" t="s">
        <v>275</v>
      </c>
      <c r="J148" s="18">
        <v>46063</v>
      </c>
      <c r="K148" s="18">
        <v>46064</v>
      </c>
      <c r="L148" s="19" t="str">
        <f>CONCATENATE(NETWORKDAYS(Consumo_Mensal!$J148, Consumo_Mensal!$K148)-1, " dia")</f>
        <v>1 dia</v>
      </c>
      <c r="M148" s="23">
        <f>IFERROR(Consumo_Mensal!$F148*VLOOKUP(Consumo_Mensal!$E148,TBEstoque[[DESCRIÇÃO]:[VALOR UNIT. (R$)]],7,0), 0)</f>
        <v>177.1</v>
      </c>
    </row>
    <row r="149" spans="2:13" ht="16.8">
      <c r="B149" s="16" t="str">
        <f>"PED-" &amp; Consumo_Mensal!$H149 &amp; "-" &amp; TEXT(Consumo_Mensal!$J149, "ddmmaa")</f>
        <v>PED-Planta Industrial - Suprimentos-100226</v>
      </c>
      <c r="C149" s="15">
        <v>20902</v>
      </c>
      <c r="D149" s="20" t="s">
        <v>125</v>
      </c>
      <c r="E149" s="16" t="s">
        <v>41</v>
      </c>
      <c r="F149" s="16">
        <v>50</v>
      </c>
      <c r="G149" s="16" t="s">
        <v>183</v>
      </c>
      <c r="H149" s="16" t="s">
        <v>258</v>
      </c>
      <c r="I149" s="16" t="s">
        <v>280</v>
      </c>
      <c r="J149" s="18">
        <v>46063</v>
      </c>
      <c r="K149" s="18">
        <v>46064</v>
      </c>
      <c r="L149" s="19" t="str">
        <f>CONCATENATE(NETWORKDAYS(Consumo_Mensal!$J149, Consumo_Mensal!$K149)-1, " dia")</f>
        <v>1 dia</v>
      </c>
      <c r="M149" s="23">
        <f>IFERROR(Consumo_Mensal!$F149*VLOOKUP(Consumo_Mensal!$E149,TBEstoque[[DESCRIÇÃO]:[VALOR UNIT. (R$)]],7,0), 0)</f>
        <v>1667.4999999999998</v>
      </c>
    </row>
    <row r="150" spans="2:13" ht="16.8" hidden="1">
      <c r="B150" s="16" t="str">
        <f>"PED-" &amp; Consumo_Mensal!$H150 &amp; "-" &amp; TEXT(Consumo_Mensal!$J150, "ddmmaa")</f>
        <v>PED-Escritório Central - Sede-110226</v>
      </c>
      <c r="C150" s="15">
        <v>20903</v>
      </c>
      <c r="D150" s="20" t="s">
        <v>125</v>
      </c>
      <c r="E150" s="16" t="s">
        <v>23</v>
      </c>
      <c r="F150" s="16">
        <v>1</v>
      </c>
      <c r="G150" s="20" t="s">
        <v>186</v>
      </c>
      <c r="H150" s="16" t="s">
        <v>260</v>
      </c>
      <c r="I150" s="16" t="s">
        <v>271</v>
      </c>
      <c r="J150" s="18">
        <v>46064</v>
      </c>
      <c r="K150" s="18">
        <v>46065</v>
      </c>
      <c r="L150" s="19" t="str">
        <f>CONCATENATE(NETWORKDAYS(Consumo_Mensal!$J150, Consumo_Mensal!$K150)-1, " dia")</f>
        <v>1 dia</v>
      </c>
      <c r="M150" s="23">
        <f>IFERROR(Consumo_Mensal!$F150*VLOOKUP(Consumo_Mensal!$E150,TBEstoque[[DESCRIÇÃO]:[VALOR UNIT. (R$)]],7,0), 0)</f>
        <v>131.1</v>
      </c>
    </row>
    <row r="151" spans="2:13" ht="16.8" hidden="1">
      <c r="B151" s="20" t="str">
        <f>"PED-" &amp; Consumo_Mensal!$H151 &amp; "-" &amp; TEXT(Consumo_Mensal!$J151, "ddmmaa")</f>
        <v>PED-Escritório Central - Sede-110226</v>
      </c>
      <c r="C151" s="15">
        <v>20903</v>
      </c>
      <c r="D151" s="20" t="s">
        <v>125</v>
      </c>
      <c r="E151" s="20" t="s">
        <v>23</v>
      </c>
      <c r="F151" s="20">
        <v>1</v>
      </c>
      <c r="G151" s="20" t="s">
        <v>186</v>
      </c>
      <c r="H151" s="16" t="s">
        <v>260</v>
      </c>
      <c r="I151" s="16" t="s">
        <v>271</v>
      </c>
      <c r="J151" s="21">
        <v>46064</v>
      </c>
      <c r="K151" s="18">
        <v>46065</v>
      </c>
      <c r="L151" s="19" t="str">
        <f>CONCATENATE(NETWORKDAYS(Consumo_Mensal!$J151, Consumo_Mensal!$K151)-1, " dia")</f>
        <v>1 dia</v>
      </c>
      <c r="M151" s="23">
        <f>IFERROR(Consumo_Mensal!$F151*VLOOKUP(Consumo_Mensal!$E151,TBEstoque[[DESCRIÇÃO]:[VALOR UNIT. (R$)]],7,0), 0)</f>
        <v>131.1</v>
      </c>
    </row>
    <row r="152" spans="2:13" ht="16.8" hidden="1">
      <c r="B152" s="16" t="str">
        <f>"PED-" &amp; Consumo_Mensal!$H152 &amp; "-" &amp; TEXT(Consumo_Mensal!$J152, "ddmmaa")</f>
        <v>PED-Farmácia Satélite - Unidade 03-120226</v>
      </c>
      <c r="C152" s="15">
        <v>20901</v>
      </c>
      <c r="D152" s="20" t="s">
        <v>125</v>
      </c>
      <c r="E152" s="16" t="s">
        <v>53</v>
      </c>
      <c r="F152" s="16">
        <v>10</v>
      </c>
      <c r="G152" s="16" t="s">
        <v>191</v>
      </c>
      <c r="H152" s="16" t="s">
        <v>257</v>
      </c>
      <c r="I152" s="16" t="s">
        <v>277</v>
      </c>
      <c r="J152" s="18">
        <v>46065</v>
      </c>
      <c r="K152" s="18">
        <v>46066</v>
      </c>
      <c r="L152" s="19" t="str">
        <f>CONCATENATE(NETWORKDAYS(Consumo_Mensal!$J152, Consumo_Mensal!$K152)-1, " dia")</f>
        <v>1 dia</v>
      </c>
      <c r="M152" s="23">
        <f>IFERROR(Consumo_Mensal!$F152*VLOOKUP(Consumo_Mensal!$E152,TBEstoque[[DESCRIÇÃO]:[VALOR UNIT. (R$)]],7,0), 0)</f>
        <v>138</v>
      </c>
    </row>
    <row r="153" spans="2:13" ht="16.8" hidden="1">
      <c r="B153" s="16" t="str">
        <f>"PED-" &amp; Consumo_Mensal!$H153 &amp; "-" &amp; TEXT(Consumo_Mensal!$J153, "ddmmaa")</f>
        <v>PED-Farmácia Satélite - Unidade 03-120226</v>
      </c>
      <c r="C153" s="15">
        <v>20890</v>
      </c>
      <c r="D153" s="20" t="s">
        <v>125</v>
      </c>
      <c r="E153" s="16" t="s">
        <v>54</v>
      </c>
      <c r="F153" s="16">
        <v>5</v>
      </c>
      <c r="G153" s="16" t="s">
        <v>191</v>
      </c>
      <c r="H153" s="16" t="s">
        <v>257</v>
      </c>
      <c r="I153" s="16" t="s">
        <v>277</v>
      </c>
      <c r="J153" s="18">
        <v>46065</v>
      </c>
      <c r="K153" s="18">
        <v>46066</v>
      </c>
      <c r="L153" s="19" t="str">
        <f>CONCATENATE(NETWORKDAYS(Consumo_Mensal!$J153, Consumo_Mensal!$K153)-1, " dia")</f>
        <v>1 dia</v>
      </c>
      <c r="M153" s="23">
        <f>IFERROR(Consumo_Mensal!$F153*VLOOKUP(Consumo_Mensal!$E153,TBEstoque[[DESCRIÇÃO]:[VALOR UNIT. (R$)]],7,0), 0)</f>
        <v>137.9425</v>
      </c>
    </row>
    <row r="154" spans="2:13" ht="16.8" hidden="1">
      <c r="B154" s="16" t="str">
        <f>"PED-" &amp; Consumo_Mensal!$H154 &amp; "-" &amp; TEXT(Consumo_Mensal!$J154, "ddmmaa")</f>
        <v>PED-Farmácia Satélite - Unidade 03-120226</v>
      </c>
      <c r="C154" s="15">
        <v>20904</v>
      </c>
      <c r="D154" s="20" t="s">
        <v>125</v>
      </c>
      <c r="E154" s="13" t="s">
        <v>120</v>
      </c>
      <c r="F154" s="16">
        <v>5</v>
      </c>
      <c r="G154" s="16" t="s">
        <v>191</v>
      </c>
      <c r="H154" s="16" t="s">
        <v>257</v>
      </c>
      <c r="I154" s="16" t="s">
        <v>277</v>
      </c>
      <c r="J154" s="18">
        <v>46065</v>
      </c>
      <c r="K154" s="18">
        <v>46066</v>
      </c>
      <c r="L154" s="19" t="str">
        <f>CONCATENATE(NETWORKDAYS(Consumo_Mensal!$J154, Consumo_Mensal!$K154)-1, " dia")</f>
        <v>1 dia</v>
      </c>
      <c r="M154" s="23">
        <f>IFERROR(Consumo_Mensal!$F154*VLOOKUP(Consumo_Mensal!$E154,TBEstoque[[DESCRIÇÃO]:[VALOR UNIT. (R$)]],7,0), 0)</f>
        <v>51.634999999999998</v>
      </c>
    </row>
    <row r="155" spans="2:13" ht="16.8" hidden="1">
      <c r="B155" s="16" t="str">
        <f>"PED-" &amp; Consumo_Mensal!$H155 &amp; "-" &amp; TEXT(Consumo_Mensal!$J155, "ddmmaa")</f>
        <v>PED-Farmácia Satélite - Unidade 03-120226</v>
      </c>
      <c r="C155" s="15">
        <v>20903</v>
      </c>
      <c r="D155" s="20" t="s">
        <v>125</v>
      </c>
      <c r="E155" s="16" t="s">
        <v>23</v>
      </c>
      <c r="F155" s="16">
        <v>3</v>
      </c>
      <c r="G155" s="20" t="s">
        <v>186</v>
      </c>
      <c r="H155" s="16" t="s">
        <v>257</v>
      </c>
      <c r="I155" s="16" t="s">
        <v>277</v>
      </c>
      <c r="J155" s="18">
        <v>46065</v>
      </c>
      <c r="K155" s="18">
        <v>46066</v>
      </c>
      <c r="L155" s="19" t="str">
        <f>CONCATENATE(NETWORKDAYS(Consumo_Mensal!$J155, Consumo_Mensal!$K155)-1, " dia")</f>
        <v>1 dia</v>
      </c>
      <c r="M155" s="23">
        <f>IFERROR(Consumo_Mensal!$F155*VLOOKUP(Consumo_Mensal!$E155,TBEstoque[[DESCRIÇÃO]:[VALOR UNIT. (R$)]],7,0), 0)</f>
        <v>393.29999999999995</v>
      </c>
    </row>
    <row r="156" spans="2:13" ht="16.8" hidden="1">
      <c r="B156" s="16" t="str">
        <f>"PED-" &amp; Consumo_Mensal!$H156 &amp; "-" &amp; TEXT(Consumo_Mensal!$J156, "ddmmaa")</f>
        <v>PED-Farmácia Satélite - Unidade 03-120226</v>
      </c>
      <c r="C156" s="15">
        <v>20984</v>
      </c>
      <c r="D156" s="20" t="s">
        <v>125</v>
      </c>
      <c r="E156" s="16" t="s">
        <v>30</v>
      </c>
      <c r="F156" s="16">
        <v>10</v>
      </c>
      <c r="G156" s="16" t="s">
        <v>191</v>
      </c>
      <c r="H156" s="16" t="s">
        <v>257</v>
      </c>
      <c r="I156" s="16" t="s">
        <v>277</v>
      </c>
      <c r="J156" s="18">
        <v>46065</v>
      </c>
      <c r="K156" s="18">
        <v>46066</v>
      </c>
      <c r="L156" s="19" t="str">
        <f>CONCATENATE(NETWORKDAYS(Consumo_Mensal!$J156, Consumo_Mensal!$K156)-1, " dia")</f>
        <v>1 dia</v>
      </c>
      <c r="M156" s="23">
        <f>IFERROR(Consumo_Mensal!$F156*VLOOKUP(Consumo_Mensal!$E156,TBEstoque[[DESCRIÇÃO]:[VALOR UNIT. (R$)]],7,0), 0)</f>
        <v>96.944999999999993</v>
      </c>
    </row>
    <row r="157" spans="2:13" ht="16.8" hidden="1">
      <c r="B157" s="16" t="str">
        <f>"PED-" &amp; Consumo_Mensal!$H157 &amp; "-" &amp; TEXT(Consumo_Mensal!$J157, "ddmmaa")</f>
        <v>PED-Farmácia Satélite - Unidade 03-120226</v>
      </c>
      <c r="C157" s="16">
        <f>INDEX(Materiais_Estoque!$B$5:$B$104, MATCH(TBConsumo[[#This Row],[DESCRIÇÃO]], Materiais_Estoque!$D$5:$D$104, 0))</f>
        <v>20912</v>
      </c>
      <c r="D157" s="20" t="s">
        <v>125</v>
      </c>
      <c r="E157" s="16" t="s">
        <v>32</v>
      </c>
      <c r="F157" s="16">
        <v>125</v>
      </c>
      <c r="G157" s="16" t="s">
        <v>190</v>
      </c>
      <c r="H157" s="16" t="s">
        <v>257</v>
      </c>
      <c r="I157" s="16" t="s">
        <v>277</v>
      </c>
      <c r="J157" s="18">
        <v>46065</v>
      </c>
      <c r="K157" s="18">
        <v>46066</v>
      </c>
      <c r="L157" s="19" t="str">
        <f>CONCATENATE(NETWORKDAYS(Consumo_Mensal!$J157, Consumo_Mensal!$K157)-1, " dia")</f>
        <v>1 dia</v>
      </c>
      <c r="M157" s="23">
        <f>IFERROR(Consumo_Mensal!$F157*VLOOKUP(Consumo_Mensal!$E157,TBEstoque[[DESCRIÇÃO]:[VALOR UNIT. (R$)]],7,0), 0)</f>
        <v>221.375</v>
      </c>
    </row>
    <row r="158" spans="2:13" ht="16.8" hidden="1">
      <c r="B158" s="16" t="str">
        <f>"PED-" &amp; Consumo_Mensal!$H158 &amp; "-" &amp; TEXT(Consumo_Mensal!$J158, "ddmmaa")</f>
        <v>PED-Farmácia Satélite - Unidade 03-120226</v>
      </c>
      <c r="C158" s="15">
        <v>20886</v>
      </c>
      <c r="D158" s="20" t="s">
        <v>125</v>
      </c>
      <c r="E158" s="16" t="s">
        <v>55</v>
      </c>
      <c r="F158" s="16">
        <v>5</v>
      </c>
      <c r="G158" s="16" t="s">
        <v>56</v>
      </c>
      <c r="H158" s="16" t="s">
        <v>257</v>
      </c>
      <c r="I158" s="16" t="s">
        <v>277</v>
      </c>
      <c r="J158" s="18">
        <v>46065</v>
      </c>
      <c r="K158" s="18">
        <v>46066</v>
      </c>
      <c r="L158" s="19" t="str">
        <f>CONCATENATE(NETWORKDAYS(Consumo_Mensal!$J158, Consumo_Mensal!$K158)-1, " dia")</f>
        <v>1 dia</v>
      </c>
      <c r="M158" s="23">
        <f>IFERROR(Consumo_Mensal!$F158*VLOOKUP(Consumo_Mensal!$E158,TBEstoque[[DESCRIÇÃO]:[VALOR UNIT. (R$)]],7,0), 0)</f>
        <v>120.75</v>
      </c>
    </row>
    <row r="159" spans="2:13" ht="16.8" hidden="1">
      <c r="B159" s="16" t="str">
        <f>"PED-" &amp; Consumo_Mensal!$H159 &amp; "-" &amp; TEXT(Consumo_Mensal!$J159, "ddmmaa")</f>
        <v>PED-Farmácia Satélite - Unidade 03-120226</v>
      </c>
      <c r="C159" s="15">
        <v>20885</v>
      </c>
      <c r="D159" s="20" t="s">
        <v>125</v>
      </c>
      <c r="E159" s="16" t="s">
        <v>57</v>
      </c>
      <c r="F159" s="16">
        <v>5</v>
      </c>
      <c r="G159" s="16" t="s">
        <v>56</v>
      </c>
      <c r="H159" s="16" t="s">
        <v>257</v>
      </c>
      <c r="I159" s="16" t="s">
        <v>277</v>
      </c>
      <c r="J159" s="18">
        <v>46065</v>
      </c>
      <c r="K159" s="18">
        <v>46066</v>
      </c>
      <c r="L159" s="19" t="str">
        <f>CONCATENATE(NETWORKDAYS(Consumo_Mensal!$J159, Consumo_Mensal!$K159)-1, " dia")</f>
        <v>1 dia</v>
      </c>
      <c r="M159" s="23">
        <f>IFERROR(Consumo_Mensal!$F159*VLOOKUP(Consumo_Mensal!$E159,TBEstoque[[DESCRIÇÃO]:[VALOR UNIT. (R$)]],7,0), 0)</f>
        <v>120.75</v>
      </c>
    </row>
    <row r="160" spans="2:13" ht="16.8" hidden="1">
      <c r="B160" s="16" t="str">
        <f>"PED-" &amp; Consumo_Mensal!$H160 &amp; "-" &amp; TEXT(Consumo_Mensal!$J160, "ddmmaa")</f>
        <v>PED-Farmácia Satélite - Unidade 04-120226</v>
      </c>
      <c r="C160" s="15">
        <v>20887</v>
      </c>
      <c r="D160" s="20" t="s">
        <v>125</v>
      </c>
      <c r="E160" s="16" t="s">
        <v>58</v>
      </c>
      <c r="F160" s="16">
        <v>5</v>
      </c>
      <c r="G160" s="16" t="s">
        <v>56</v>
      </c>
      <c r="H160" s="16" t="s">
        <v>259</v>
      </c>
      <c r="I160" s="16" t="s">
        <v>282</v>
      </c>
      <c r="J160" s="18">
        <v>46065</v>
      </c>
      <c r="K160" s="18">
        <v>46066</v>
      </c>
      <c r="L160" s="19" t="str">
        <f>CONCATENATE(NETWORKDAYS(Consumo_Mensal!$J160, Consumo_Mensal!$K160)-1, " dia")</f>
        <v>1 dia</v>
      </c>
      <c r="M160" s="23">
        <f>IFERROR(Consumo_Mensal!$F160*VLOOKUP(Consumo_Mensal!$E160,TBEstoque[[DESCRIÇÃO]:[VALOR UNIT. (R$)]],7,0), 0)</f>
        <v>110.97499999999999</v>
      </c>
    </row>
    <row r="161" spans="2:13" ht="16.8" hidden="1">
      <c r="B161" s="16" t="str">
        <f>"PED-" &amp; Consumo_Mensal!$H161 &amp; "-" &amp; TEXT(Consumo_Mensal!$J161, "ddmmaa")</f>
        <v>PED-Farmácia Satélite - Unidade 04-120226</v>
      </c>
      <c r="C161" s="15">
        <v>20888</v>
      </c>
      <c r="D161" s="20" t="s">
        <v>125</v>
      </c>
      <c r="E161" s="16" t="s">
        <v>59</v>
      </c>
      <c r="F161" s="16">
        <v>5</v>
      </c>
      <c r="G161" s="16" t="s">
        <v>56</v>
      </c>
      <c r="H161" s="16" t="s">
        <v>259</v>
      </c>
      <c r="I161" s="16" t="s">
        <v>282</v>
      </c>
      <c r="J161" s="18">
        <v>46065</v>
      </c>
      <c r="K161" s="18">
        <v>46066</v>
      </c>
      <c r="L161" s="19" t="str">
        <f>CONCATENATE(NETWORKDAYS(Consumo_Mensal!$J161, Consumo_Mensal!$K161)-1, " dia")</f>
        <v>1 dia</v>
      </c>
      <c r="M161" s="23">
        <f>IFERROR(Consumo_Mensal!$F161*VLOOKUP(Consumo_Mensal!$E161,TBEstoque[[DESCRIÇÃO]:[VALOR UNIT. (R$)]],7,0), 0)</f>
        <v>110.97499999999999</v>
      </c>
    </row>
    <row r="162" spans="2:13" ht="16.8" hidden="1">
      <c r="B162" s="16" t="str">
        <f>"PED-" &amp; Consumo_Mensal!$H162 &amp; "-" &amp; TEXT(Consumo_Mensal!$J162, "ddmmaa")</f>
        <v>PED-Farmácia Satélite - Unidade 04-120226</v>
      </c>
      <c r="C162" s="16">
        <f>INDEX(Materiais_Estoque!$B$5:$B$104, MATCH(TBConsumo[[#This Row],[DESCRIÇÃO]], Materiais_Estoque!$D$5:$D$104, 0))</f>
        <v>20915</v>
      </c>
      <c r="D162" s="20" t="s">
        <v>125</v>
      </c>
      <c r="E162" s="16" t="s">
        <v>60</v>
      </c>
      <c r="F162" s="16">
        <v>10</v>
      </c>
      <c r="G162" s="16" t="s">
        <v>56</v>
      </c>
      <c r="H162" s="16" t="s">
        <v>259</v>
      </c>
      <c r="I162" s="16" t="s">
        <v>282</v>
      </c>
      <c r="J162" s="18">
        <v>46065</v>
      </c>
      <c r="K162" s="18">
        <v>46066</v>
      </c>
      <c r="L162" s="19" t="str">
        <f>CONCATENATE(NETWORKDAYS(Consumo_Mensal!$J162, Consumo_Mensal!$K162)-1, " dia")</f>
        <v>1 dia</v>
      </c>
      <c r="M162" s="23">
        <f>IFERROR(Consumo_Mensal!$F162*VLOOKUP(Consumo_Mensal!$E162,TBEstoque[[DESCRIÇÃO]:[VALOR UNIT. (R$)]],7,0), 0)</f>
        <v>222</v>
      </c>
    </row>
    <row r="163" spans="2:13" ht="16.8" hidden="1">
      <c r="B163" s="16" t="str">
        <f>"PED-" &amp; Consumo_Mensal!$H163 &amp; "-" &amp; TEXT(Consumo_Mensal!$J163, "ddmmaa")</f>
        <v>PED-Farmácia Satélite - Unidade 03-130226</v>
      </c>
      <c r="C163" s="16">
        <f>INDEX(Materiais_Estoque!$B$5:$B$104, MATCH(TBConsumo[[#This Row],[DESCRIÇÃO]], Materiais_Estoque!$D$5:$D$104, 0))</f>
        <v>20916</v>
      </c>
      <c r="D163" s="20" t="s">
        <v>125</v>
      </c>
      <c r="E163" s="16" t="s">
        <v>61</v>
      </c>
      <c r="F163" s="16">
        <v>30</v>
      </c>
      <c r="G163" s="16" t="s">
        <v>186</v>
      </c>
      <c r="H163" s="16" t="s">
        <v>257</v>
      </c>
      <c r="I163" s="16" t="s">
        <v>277</v>
      </c>
      <c r="J163" s="18">
        <v>46066</v>
      </c>
      <c r="K163" s="18">
        <v>46069</v>
      </c>
      <c r="L163" s="19" t="str">
        <f>CONCATENATE(NETWORKDAYS(Consumo_Mensal!$J163, Consumo_Mensal!$K163)-1, " dia")</f>
        <v>1 dia</v>
      </c>
      <c r="M163" s="23">
        <f>IFERROR(Consumo_Mensal!$F163*VLOOKUP(Consumo_Mensal!$E163,TBEstoque[[DESCRIÇÃO]:[VALOR UNIT. (R$)]],7,0), 0)</f>
        <v>371.40000000000003</v>
      </c>
    </row>
    <row r="164" spans="2:13" ht="16.8" hidden="1">
      <c r="B164" s="16" t="str">
        <f>"PED-" &amp; Consumo_Mensal!$H164 &amp; "-" &amp; TEXT(Consumo_Mensal!$J164, "ddmmaa")</f>
        <v>PED-Farmácia Satélite - Unidade 03-180226</v>
      </c>
      <c r="C164" s="15">
        <v>20886</v>
      </c>
      <c r="D164" s="20" t="s">
        <v>125</v>
      </c>
      <c r="E164" s="16" t="s">
        <v>55</v>
      </c>
      <c r="F164" s="16">
        <v>5</v>
      </c>
      <c r="G164" s="16" t="s">
        <v>56</v>
      </c>
      <c r="H164" s="16" t="s">
        <v>257</v>
      </c>
      <c r="I164" s="16" t="s">
        <v>277</v>
      </c>
      <c r="J164" s="18">
        <v>46071</v>
      </c>
      <c r="K164" s="18">
        <v>46072</v>
      </c>
      <c r="L164" s="19" t="str">
        <f>CONCATENATE(NETWORKDAYS(Consumo_Mensal!$J164, Consumo_Mensal!$K164)-1, " dia")</f>
        <v>1 dia</v>
      </c>
      <c r="M164" s="23">
        <f>IFERROR(Consumo_Mensal!$F164*VLOOKUP(Consumo_Mensal!$E164,TBEstoque[[DESCRIÇÃO]:[VALOR UNIT. (R$)]],7,0), 0)</f>
        <v>120.75</v>
      </c>
    </row>
    <row r="165" spans="2:13" ht="16.8" hidden="1">
      <c r="B165" s="20" t="str">
        <f>"PED-" &amp; Consumo_Mensal!$H165 &amp; "-" &amp; TEXT(Consumo_Mensal!$J165, "ddmmaa")</f>
        <v>PED-Farmácia Satélite - Unidade 02-180226</v>
      </c>
      <c r="C165" s="16">
        <f>INDEX(Materiais_Estoque!$B$5:$B$104, MATCH(TBConsumo[[#This Row],[DESCRIÇÃO]], Materiais_Estoque!$D$5:$D$104, 0))</f>
        <v>20916</v>
      </c>
      <c r="D165" s="20" t="s">
        <v>125</v>
      </c>
      <c r="E165" s="16" t="s">
        <v>61</v>
      </c>
      <c r="F165" s="20">
        <v>5</v>
      </c>
      <c r="G165" s="20" t="s">
        <v>186</v>
      </c>
      <c r="H165" s="16" t="s">
        <v>256</v>
      </c>
      <c r="I165" s="16" t="s">
        <v>267</v>
      </c>
      <c r="J165" s="21">
        <v>46071</v>
      </c>
      <c r="K165" s="18">
        <v>46072</v>
      </c>
      <c r="L165" s="19" t="str">
        <f>CONCATENATE(NETWORKDAYS(Consumo_Mensal!$J165, Consumo_Mensal!$K165)-1, " dia")</f>
        <v>1 dia</v>
      </c>
      <c r="M165" s="23">
        <f>IFERROR(Consumo_Mensal!$F165*VLOOKUP(Consumo_Mensal!$E165,TBEstoque[[DESCRIÇÃO]:[VALOR UNIT. (R$)]],7,0), 0)</f>
        <v>61.900000000000006</v>
      </c>
    </row>
    <row r="166" spans="2:13" ht="16.8" hidden="1">
      <c r="B166" s="20" t="str">
        <f>"PED-" &amp; Consumo_Mensal!$H166 &amp; "-" &amp; TEXT(Consumo_Mensal!$J166, "ddmmaa")</f>
        <v>PED-Escritório Apoio - Gestão-180226</v>
      </c>
      <c r="C166" s="15">
        <v>20896</v>
      </c>
      <c r="D166" s="20" t="s">
        <v>125</v>
      </c>
      <c r="E166" s="20" t="s">
        <v>29</v>
      </c>
      <c r="F166" s="20">
        <v>2</v>
      </c>
      <c r="G166" s="16" t="s">
        <v>183</v>
      </c>
      <c r="H166" s="16" t="s">
        <v>261</v>
      </c>
      <c r="I166" s="16" t="s">
        <v>272</v>
      </c>
      <c r="J166" s="21">
        <v>46071</v>
      </c>
      <c r="K166" s="18">
        <v>46072</v>
      </c>
      <c r="L166" s="19" t="str">
        <f>CONCATENATE(NETWORKDAYS(Consumo_Mensal!$J166, Consumo_Mensal!$K166)-1, " dia")</f>
        <v>1 dia</v>
      </c>
      <c r="M166" s="23">
        <f>IFERROR(Consumo_Mensal!$F166*VLOOKUP(Consumo_Mensal!$E166,TBEstoque[[DESCRIÇÃO]:[VALOR UNIT. (R$)]],7,0), 0)</f>
        <v>66.699999999999989</v>
      </c>
    </row>
    <row r="167" spans="2:13" ht="16.8" hidden="1">
      <c r="B167" s="16" t="str">
        <f>"PED-" &amp; Consumo_Mensal!$H167 &amp; "-" &amp; TEXT(Consumo_Mensal!$J167, "ddmmaa")</f>
        <v>PED-Farmácia Satélite - Unidade 03-190226</v>
      </c>
      <c r="C167" s="15">
        <v>20898</v>
      </c>
      <c r="D167" s="20" t="s">
        <v>125</v>
      </c>
      <c r="E167" s="16" t="s">
        <v>28</v>
      </c>
      <c r="F167" s="16">
        <v>10</v>
      </c>
      <c r="G167" s="16" t="s">
        <v>183</v>
      </c>
      <c r="H167" s="16" t="s">
        <v>257</v>
      </c>
      <c r="I167" s="16" t="s">
        <v>277</v>
      </c>
      <c r="J167" s="18">
        <v>46072</v>
      </c>
      <c r="K167" s="18">
        <v>46073</v>
      </c>
      <c r="L167" s="19" t="str">
        <f>CONCATENATE(NETWORKDAYS(Consumo_Mensal!$J167, Consumo_Mensal!$K167)-1, " dia")</f>
        <v>1 dia</v>
      </c>
      <c r="M167" s="23">
        <f>IFERROR(Consumo_Mensal!$F167*VLOOKUP(Consumo_Mensal!$E167,TBEstoque[[DESCRIÇÃO]:[VALOR UNIT. (R$)]],7,0), 0)</f>
        <v>333.49999999999994</v>
      </c>
    </row>
    <row r="168" spans="2:13" ht="16.8" hidden="1">
      <c r="B168" s="16" t="str">
        <f>"PED-" &amp; Consumo_Mensal!$H168 &amp; "-" &amp; TEXT(Consumo_Mensal!$J168, "ddmmaa")</f>
        <v>PED-Farmácia Principal - Unidade 01-230226</v>
      </c>
      <c r="C168" s="15">
        <v>20897</v>
      </c>
      <c r="D168" s="20" t="s">
        <v>125</v>
      </c>
      <c r="E168" s="16" t="s">
        <v>27</v>
      </c>
      <c r="F168" s="16">
        <v>4</v>
      </c>
      <c r="G168" s="16" t="s">
        <v>183</v>
      </c>
      <c r="H168" s="16" t="s">
        <v>263</v>
      </c>
      <c r="I168" s="16" t="s">
        <v>281</v>
      </c>
      <c r="J168" s="18">
        <v>46076</v>
      </c>
      <c r="K168" s="18">
        <v>46076</v>
      </c>
      <c r="L168" s="19" t="str">
        <f>CONCATENATE(NETWORKDAYS(Consumo_Mensal!$J168, Consumo_Mensal!$K168)-1, " dia")</f>
        <v>0 dia</v>
      </c>
      <c r="M168" s="23">
        <f>IFERROR(Consumo_Mensal!$F168*VLOOKUP(Consumo_Mensal!$E168,TBEstoque[[DESCRIÇÃO]:[VALOR UNIT. (R$)]],7,0), 0)</f>
        <v>133.39999999999998</v>
      </c>
    </row>
    <row r="169" spans="2:13" ht="16.8" hidden="1">
      <c r="B169" s="16" t="str">
        <f>"PED-" &amp; Consumo_Mensal!$H169 &amp; "-" &amp; TEXT(Consumo_Mensal!$J169, "ddmmaa")</f>
        <v>PED-Farmácia Principal - Unidade 01-230226</v>
      </c>
      <c r="C169" s="15">
        <v>20896</v>
      </c>
      <c r="D169" s="20" t="s">
        <v>125</v>
      </c>
      <c r="E169" s="16" t="s">
        <v>29</v>
      </c>
      <c r="F169" s="16">
        <v>3</v>
      </c>
      <c r="G169" s="16" t="s">
        <v>183</v>
      </c>
      <c r="H169" s="16" t="s">
        <v>263</v>
      </c>
      <c r="I169" s="16" t="s">
        <v>281</v>
      </c>
      <c r="J169" s="18">
        <v>46076</v>
      </c>
      <c r="K169" s="18">
        <v>46076</v>
      </c>
      <c r="L169" s="19" t="str">
        <f>CONCATENATE(NETWORKDAYS(Consumo_Mensal!$J169, Consumo_Mensal!$K169)-1, " dia")</f>
        <v>0 dia</v>
      </c>
      <c r="M169" s="23">
        <f>IFERROR(Consumo_Mensal!$F169*VLOOKUP(Consumo_Mensal!$E169,TBEstoque[[DESCRIÇÃO]:[VALOR UNIT. (R$)]],7,0), 0)</f>
        <v>100.04999999999998</v>
      </c>
    </row>
    <row r="170" spans="2:13" ht="16.8" hidden="1">
      <c r="B170" s="16" t="str">
        <f>"PED-" &amp; Consumo_Mensal!$H170 &amp; "-" &amp; TEXT(Consumo_Mensal!$J170, "ddmmaa")</f>
        <v>PED-Farmácia Principal - Unidade 01-230226</v>
      </c>
      <c r="C170" s="15">
        <v>20984</v>
      </c>
      <c r="D170" s="20" t="s">
        <v>125</v>
      </c>
      <c r="E170" s="16" t="s">
        <v>30</v>
      </c>
      <c r="F170" s="16">
        <v>20</v>
      </c>
      <c r="G170" s="16" t="s">
        <v>191</v>
      </c>
      <c r="H170" s="16" t="s">
        <v>263</v>
      </c>
      <c r="I170" s="16" t="s">
        <v>281</v>
      </c>
      <c r="J170" s="18">
        <v>46076</v>
      </c>
      <c r="K170" s="18">
        <v>46076</v>
      </c>
      <c r="L170" s="19" t="str">
        <f>CONCATENATE(NETWORKDAYS(Consumo_Mensal!$J170, Consumo_Mensal!$K170)-1, " dia")</f>
        <v>0 dia</v>
      </c>
      <c r="M170" s="23">
        <f>IFERROR(Consumo_Mensal!$F170*VLOOKUP(Consumo_Mensal!$E170,TBEstoque[[DESCRIÇÃO]:[VALOR UNIT. (R$)]],7,0), 0)</f>
        <v>193.89</v>
      </c>
    </row>
    <row r="171" spans="2:13" ht="16.8" hidden="1">
      <c r="B171" s="16" t="str">
        <f>"PED-" &amp; Consumo_Mensal!$H171 &amp; "-" &amp; TEXT(Consumo_Mensal!$J171, "ddmmaa")</f>
        <v>PED-Farmácia Principal - Unidade 01-230226</v>
      </c>
      <c r="C171" s="15">
        <v>20902</v>
      </c>
      <c r="D171" s="20" t="s">
        <v>125</v>
      </c>
      <c r="E171" s="16" t="s">
        <v>41</v>
      </c>
      <c r="F171" s="16">
        <v>15</v>
      </c>
      <c r="G171" s="16" t="s">
        <v>191</v>
      </c>
      <c r="H171" s="16" t="s">
        <v>263</v>
      </c>
      <c r="I171" s="16" t="s">
        <v>281</v>
      </c>
      <c r="J171" s="18">
        <v>46076</v>
      </c>
      <c r="K171" s="18">
        <v>46076</v>
      </c>
      <c r="L171" s="19" t="str">
        <f>CONCATENATE(NETWORKDAYS(Consumo_Mensal!$J171, Consumo_Mensal!$K171)-1, " dia")</f>
        <v>0 dia</v>
      </c>
      <c r="M171" s="23">
        <f>IFERROR(Consumo_Mensal!$F171*VLOOKUP(Consumo_Mensal!$E171,TBEstoque[[DESCRIÇÃO]:[VALOR UNIT. (R$)]],7,0), 0)</f>
        <v>500.24999999999989</v>
      </c>
    </row>
    <row r="172" spans="2:13" ht="16.8" hidden="1">
      <c r="B172" s="16" t="str">
        <f>"PED-" &amp; Consumo_Mensal!$H172 &amp; "-" &amp; TEXT(Consumo_Mensal!$J172, "ddmmaa")</f>
        <v>PED-Farmácia Principal - Unidade 01-230226</v>
      </c>
      <c r="C172" s="15">
        <v>20884</v>
      </c>
      <c r="D172" s="20" t="s">
        <v>125</v>
      </c>
      <c r="E172" s="16" t="s">
        <v>69</v>
      </c>
      <c r="F172" s="16">
        <v>5</v>
      </c>
      <c r="G172" s="16" t="s">
        <v>191</v>
      </c>
      <c r="H172" s="16" t="s">
        <v>263</v>
      </c>
      <c r="I172" s="16" t="s">
        <v>281</v>
      </c>
      <c r="J172" s="18">
        <v>46076</v>
      </c>
      <c r="K172" s="18">
        <v>46076</v>
      </c>
      <c r="L172" s="19" t="str">
        <f>CONCATENATE(NETWORKDAYS(Consumo_Mensal!$J172, Consumo_Mensal!$K172)-1, " dia")</f>
        <v>0 dia</v>
      </c>
      <c r="M172" s="23">
        <f>IFERROR(Consumo_Mensal!$F172*VLOOKUP(Consumo_Mensal!$E172,TBEstoque[[DESCRIÇÃO]:[VALOR UNIT. (R$)]],7,0), 0)</f>
        <v>56.349999999999994</v>
      </c>
    </row>
    <row r="173" spans="2:13" ht="16.8" hidden="1">
      <c r="B173" s="16" t="str">
        <f>"PED-" &amp; Consumo_Mensal!$H173 &amp; "-" &amp; TEXT(Consumo_Mensal!$J173, "ddmmaa")</f>
        <v>PED-Farmácia Principal - Unidade 01-230226</v>
      </c>
      <c r="C173" s="15">
        <v>20886</v>
      </c>
      <c r="D173" s="20" t="s">
        <v>125</v>
      </c>
      <c r="E173" s="16" t="s">
        <v>55</v>
      </c>
      <c r="F173" s="16">
        <v>10</v>
      </c>
      <c r="G173" s="16" t="s">
        <v>56</v>
      </c>
      <c r="H173" s="16" t="s">
        <v>263</v>
      </c>
      <c r="I173" s="16" t="s">
        <v>281</v>
      </c>
      <c r="J173" s="18">
        <v>46076</v>
      </c>
      <c r="K173" s="18">
        <v>46076</v>
      </c>
      <c r="L173" s="19" t="str">
        <f>CONCATENATE(NETWORKDAYS(Consumo_Mensal!$J173, Consumo_Mensal!$K173)-1, " dia")</f>
        <v>0 dia</v>
      </c>
      <c r="M173" s="23">
        <f>IFERROR(Consumo_Mensal!$F173*VLOOKUP(Consumo_Mensal!$E173,TBEstoque[[DESCRIÇÃO]:[VALOR UNIT. (R$)]],7,0), 0)</f>
        <v>241.5</v>
      </c>
    </row>
    <row r="174" spans="2:13" ht="16.8" hidden="1">
      <c r="B174" s="16" t="str">
        <f>"PED-" &amp; Consumo_Mensal!$H174 &amp; "-" &amp; TEXT(Consumo_Mensal!$J174, "ddmmaa")</f>
        <v>PED-Farmácia Principal - Unidade 01-230226</v>
      </c>
      <c r="C174" s="15">
        <v>20887</v>
      </c>
      <c r="D174" s="20" t="s">
        <v>125</v>
      </c>
      <c r="E174" s="16" t="s">
        <v>58</v>
      </c>
      <c r="F174" s="16">
        <v>5</v>
      </c>
      <c r="G174" s="16" t="s">
        <v>56</v>
      </c>
      <c r="H174" s="16" t="s">
        <v>263</v>
      </c>
      <c r="I174" s="16" t="s">
        <v>281</v>
      </c>
      <c r="J174" s="18">
        <v>46076</v>
      </c>
      <c r="K174" s="18">
        <v>46076</v>
      </c>
      <c r="L174" s="19" t="str">
        <f>CONCATENATE(NETWORKDAYS(Consumo_Mensal!$J174, Consumo_Mensal!$K174)-1, " dia")</f>
        <v>0 dia</v>
      </c>
      <c r="M174" s="23">
        <f>IFERROR(Consumo_Mensal!$F174*VLOOKUP(Consumo_Mensal!$E174,TBEstoque[[DESCRIÇÃO]:[VALOR UNIT. (R$)]],7,0), 0)</f>
        <v>110.97499999999999</v>
      </c>
    </row>
    <row r="175" spans="2:13" ht="16.8" hidden="1">
      <c r="B175" s="16" t="str">
        <f>"PED-" &amp; Consumo_Mensal!$H175 &amp; "-" &amp; TEXT(Consumo_Mensal!$J175, "ddmmaa")</f>
        <v>PED-Farmácia Satélite - Unidade 03-230226</v>
      </c>
      <c r="C175" s="16">
        <f>INDEX(Materiais_Estoque!$B$5:$B$104, MATCH(TBConsumo[[#This Row],[DESCRIÇÃO]], Materiais_Estoque!$D$5:$D$104, 0))</f>
        <v>20917</v>
      </c>
      <c r="D175" s="20" t="s">
        <v>125</v>
      </c>
      <c r="E175" s="20" t="s">
        <v>70</v>
      </c>
      <c r="F175" s="16">
        <v>2</v>
      </c>
      <c r="G175" s="16" t="s">
        <v>188</v>
      </c>
      <c r="H175" s="16" t="s">
        <v>257</v>
      </c>
      <c r="I175" s="16" t="s">
        <v>277</v>
      </c>
      <c r="J175" s="18">
        <v>46076</v>
      </c>
      <c r="K175" s="18">
        <v>46076</v>
      </c>
      <c r="L175" s="19" t="str">
        <f>CONCATENATE(NETWORKDAYS(Consumo_Mensal!$J175, Consumo_Mensal!$K175)-1, " dia")</f>
        <v>0 dia</v>
      </c>
      <c r="M175" s="23">
        <f>IFERROR(Consumo_Mensal!$F175*VLOOKUP(Consumo_Mensal!$E175,TBEstoque[[DESCRIÇÃO]:[VALOR UNIT. (R$)]],7,0), 0)</f>
        <v>0</v>
      </c>
    </row>
    <row r="176" spans="2:13" ht="16.8" hidden="1">
      <c r="B176" s="16" t="str">
        <f>"PED-" &amp; Consumo_Mensal!$H176 &amp; "-" &amp; TEXT(Consumo_Mensal!$J176, "ddmmaa")</f>
        <v>PED-Farmácia Principal - Unidade 01-230226</v>
      </c>
      <c r="C176" s="16">
        <f>INDEX(Materiais_Estoque!$B$5:$B$104, MATCH(TBConsumo[[#This Row],[DESCRIÇÃO]], Materiais_Estoque!$D$5:$D$104, 0))</f>
        <v>20911</v>
      </c>
      <c r="D176" s="20" t="s">
        <v>125</v>
      </c>
      <c r="E176" s="16" t="s">
        <v>31</v>
      </c>
      <c r="F176" s="16">
        <v>50</v>
      </c>
      <c r="G176" s="16" t="s">
        <v>190</v>
      </c>
      <c r="H176" s="16" t="s">
        <v>263</v>
      </c>
      <c r="I176" s="16" t="s">
        <v>275</v>
      </c>
      <c r="J176" s="18">
        <v>46076</v>
      </c>
      <c r="K176" s="18">
        <v>46076</v>
      </c>
      <c r="L176" s="19" t="str">
        <f>CONCATENATE(NETWORKDAYS(Consumo_Mensal!$J176, Consumo_Mensal!$K176)-1, " dia")</f>
        <v>0 dia</v>
      </c>
      <c r="M176" s="23">
        <f>IFERROR(Consumo_Mensal!$F176*VLOOKUP(Consumo_Mensal!$E176,TBEstoque[[DESCRIÇÃO]:[VALOR UNIT. (R$)]],7,0), 0)</f>
        <v>110.39999999999999</v>
      </c>
    </row>
    <row r="177" spans="2:13" ht="16.8" hidden="1">
      <c r="B177" s="16" t="str">
        <f>"PED-" &amp; Consumo_Mensal!$H177 &amp; "-" &amp; TEXT(Consumo_Mensal!$J177, "ddmmaa")</f>
        <v>PED-Farmácia Principal - Unidade 01-230226</v>
      </c>
      <c r="C177" s="16">
        <f>INDEX(Materiais_Estoque!$B$5:$B$104, MATCH(TBConsumo[[#This Row],[DESCRIÇÃO]], Materiais_Estoque!$D$5:$D$104, 0))</f>
        <v>20912</v>
      </c>
      <c r="D177" s="20" t="s">
        <v>125</v>
      </c>
      <c r="E177" s="16" t="s">
        <v>32</v>
      </c>
      <c r="F177" s="16">
        <v>125</v>
      </c>
      <c r="G177" s="16" t="s">
        <v>190</v>
      </c>
      <c r="H177" s="16" t="s">
        <v>263</v>
      </c>
      <c r="I177" s="16" t="s">
        <v>275</v>
      </c>
      <c r="J177" s="18">
        <v>46076</v>
      </c>
      <c r="K177" s="18">
        <v>46076</v>
      </c>
      <c r="L177" s="19" t="str">
        <f>CONCATENATE(NETWORKDAYS(Consumo_Mensal!$J177, Consumo_Mensal!$K177)-1, " dia")</f>
        <v>0 dia</v>
      </c>
      <c r="M177" s="23">
        <f>IFERROR(Consumo_Mensal!$F177*VLOOKUP(Consumo_Mensal!$E177,TBEstoque[[DESCRIÇÃO]:[VALOR UNIT. (R$)]],7,0), 0)</f>
        <v>221.375</v>
      </c>
    </row>
    <row r="178" spans="2:13" ht="16.8" hidden="1">
      <c r="B178" s="20" t="str">
        <f>"PED-" &amp; Consumo_Mensal!$H178 &amp; "-" &amp; TEXT(Consumo_Mensal!$J178, "ddmmaa")</f>
        <v>PED-Farmácia Satélite - Unidade 02-260226</v>
      </c>
      <c r="C178" s="16">
        <f>INDEX(Materiais_Estoque!$B$5:$B$104, MATCH(TBConsumo[[#This Row],[DESCRIÇÃO]], Materiais_Estoque!$D$5:$D$104, 0))</f>
        <v>20917</v>
      </c>
      <c r="D178" s="20" t="s">
        <v>125</v>
      </c>
      <c r="E178" s="20" t="s">
        <v>70</v>
      </c>
      <c r="F178" s="20">
        <v>1</v>
      </c>
      <c r="G178" s="16" t="s">
        <v>188</v>
      </c>
      <c r="H178" s="16" t="s">
        <v>256</v>
      </c>
      <c r="I178" s="16" t="s">
        <v>267</v>
      </c>
      <c r="J178" s="21">
        <v>46079</v>
      </c>
      <c r="K178" s="18">
        <v>46079</v>
      </c>
      <c r="L178" s="19" t="str">
        <f>CONCATENATE(NETWORKDAYS(Consumo_Mensal!$J178, Consumo_Mensal!$K178)-1, " dia")</f>
        <v>0 dia</v>
      </c>
      <c r="M178" s="23">
        <f>IFERROR(Consumo_Mensal!$F178*VLOOKUP(Consumo_Mensal!$E178,TBEstoque[[DESCRIÇÃO]:[VALOR UNIT. (R$)]],7,0), 0)</f>
        <v>0</v>
      </c>
    </row>
    <row r="179" spans="2:13" ht="16.8" hidden="1">
      <c r="B179" s="16" t="str">
        <f>"PED-" &amp; Consumo_Mensal!$H179 &amp; "-" &amp; TEXT(Consumo_Mensal!$J179, "ddmmaa")</f>
        <v>PED-Farmácia Satélite - Unidade 03-270226</v>
      </c>
      <c r="C179" s="15">
        <v>20903</v>
      </c>
      <c r="D179" s="20" t="s">
        <v>125</v>
      </c>
      <c r="E179" s="16" t="s">
        <v>23</v>
      </c>
      <c r="F179" s="16">
        <v>3</v>
      </c>
      <c r="G179" s="20" t="s">
        <v>186</v>
      </c>
      <c r="H179" s="16" t="s">
        <v>257</v>
      </c>
      <c r="I179" s="16" t="s">
        <v>277</v>
      </c>
      <c r="J179" s="18">
        <v>46080</v>
      </c>
      <c r="K179" s="18">
        <v>46083</v>
      </c>
      <c r="L179" s="19" t="str">
        <f>CONCATENATE(NETWORKDAYS(Consumo_Mensal!$J179, Consumo_Mensal!$K179)-1, " dia")</f>
        <v>1 dia</v>
      </c>
      <c r="M179" s="23">
        <f>IFERROR(Consumo_Mensal!$F179*VLOOKUP(Consumo_Mensal!$E179,TBEstoque[[DESCRIÇÃO]:[VALOR UNIT. (R$)]],7,0), 0)</f>
        <v>393.29999999999995</v>
      </c>
    </row>
    <row r="180" spans="2:13" ht="16.8" hidden="1">
      <c r="B180" s="16" t="str">
        <f>"PED-" &amp; Consumo_Mensal!$H180 &amp; "-" &amp; TEXT(Consumo_Mensal!$J180, "ddmmaa")</f>
        <v>PED-Farmácia Satélite - Unidade 03-270226</v>
      </c>
      <c r="C180" s="15">
        <v>20896</v>
      </c>
      <c r="D180" s="20" t="s">
        <v>125</v>
      </c>
      <c r="E180" s="16" t="s">
        <v>29</v>
      </c>
      <c r="F180" s="16">
        <v>1</v>
      </c>
      <c r="G180" s="16" t="s">
        <v>183</v>
      </c>
      <c r="H180" s="16" t="s">
        <v>257</v>
      </c>
      <c r="I180" s="16" t="s">
        <v>277</v>
      </c>
      <c r="J180" s="18">
        <v>46080</v>
      </c>
      <c r="K180" s="18">
        <v>46083</v>
      </c>
      <c r="L180" s="19" t="str">
        <f>CONCATENATE(NETWORKDAYS(Consumo_Mensal!$J180, Consumo_Mensal!$K180)-1, " dia")</f>
        <v>1 dia</v>
      </c>
      <c r="M180" s="23">
        <f>IFERROR(Consumo_Mensal!$F180*VLOOKUP(Consumo_Mensal!$E180,TBEstoque[[DESCRIÇÃO]:[VALOR UNIT. (R$)]],7,0), 0)</f>
        <v>33.349999999999994</v>
      </c>
    </row>
    <row r="181" spans="2:13" ht="16.8" hidden="1">
      <c r="B181" s="16" t="str">
        <f>"PED-" &amp; Consumo_Mensal!$H181 &amp; "-" &amp; TEXT(Consumo_Mensal!$J181, "ddmmaa")</f>
        <v>PED-Farmácia Satélite - Unidade 03-270226</v>
      </c>
      <c r="C181" s="15">
        <v>20897</v>
      </c>
      <c r="D181" s="20" t="s">
        <v>125</v>
      </c>
      <c r="E181" s="16" t="s">
        <v>27</v>
      </c>
      <c r="F181" s="16">
        <v>4</v>
      </c>
      <c r="G181" s="16" t="s">
        <v>183</v>
      </c>
      <c r="H181" s="16" t="s">
        <v>257</v>
      </c>
      <c r="I181" s="16" t="s">
        <v>277</v>
      </c>
      <c r="J181" s="18">
        <v>46080</v>
      </c>
      <c r="K181" s="18">
        <v>46083</v>
      </c>
      <c r="L181" s="19" t="str">
        <f>CONCATENATE(NETWORKDAYS(Consumo_Mensal!$J181, Consumo_Mensal!$K181)-1, " dia")</f>
        <v>1 dia</v>
      </c>
      <c r="M181" s="23">
        <f>IFERROR(Consumo_Mensal!$F181*VLOOKUP(Consumo_Mensal!$E181,TBEstoque[[DESCRIÇÃO]:[VALOR UNIT. (R$)]],7,0), 0)</f>
        <v>133.39999999999998</v>
      </c>
    </row>
    <row r="182" spans="2:13" ht="16.8" hidden="1">
      <c r="B182" s="16" t="str">
        <f>"PED-" &amp; Consumo_Mensal!$H182 &amp; "-" &amp; TEXT(Consumo_Mensal!$J182, "ddmmaa")</f>
        <v>PED-Farmácia Satélite - Unidade 03-270226</v>
      </c>
      <c r="C182" s="15">
        <v>20890</v>
      </c>
      <c r="D182" s="20" t="s">
        <v>125</v>
      </c>
      <c r="E182" s="16" t="s">
        <v>54</v>
      </c>
      <c r="F182" s="16">
        <v>5</v>
      </c>
      <c r="G182" s="16" t="s">
        <v>191</v>
      </c>
      <c r="H182" s="16" t="s">
        <v>257</v>
      </c>
      <c r="I182" s="16" t="s">
        <v>277</v>
      </c>
      <c r="J182" s="18">
        <v>46080</v>
      </c>
      <c r="K182" s="18">
        <v>46083</v>
      </c>
      <c r="L182" s="19" t="str">
        <f>CONCATENATE(NETWORKDAYS(Consumo_Mensal!$J182, Consumo_Mensal!$K182)-1, " dia")</f>
        <v>1 dia</v>
      </c>
      <c r="M182" s="23">
        <f>IFERROR(Consumo_Mensal!$F182*VLOOKUP(Consumo_Mensal!$E182,TBEstoque[[DESCRIÇÃO]:[VALOR UNIT. (R$)]],7,0), 0)</f>
        <v>137.9425</v>
      </c>
    </row>
    <row r="183" spans="2:13" ht="16.8" hidden="1">
      <c r="B183" s="16" t="str">
        <f>"PED-" &amp; Consumo_Mensal!$H183 &amp; "-" &amp; TEXT(Consumo_Mensal!$J183, "ddmmaa")</f>
        <v>PED-Farmácia Satélite - Unidade 03-270226</v>
      </c>
      <c r="C183" s="16">
        <f>INDEX(Materiais_Estoque!$B$5:$B$104, MATCH(TBConsumo[[#This Row],[DESCRIÇÃO]], Materiais_Estoque!$D$5:$D$104, 0))</f>
        <v>20911</v>
      </c>
      <c r="D183" s="20" t="s">
        <v>125</v>
      </c>
      <c r="E183" s="16" t="s">
        <v>31</v>
      </c>
      <c r="F183" s="16">
        <v>125</v>
      </c>
      <c r="G183" s="16" t="s">
        <v>190</v>
      </c>
      <c r="H183" s="16" t="s">
        <v>257</v>
      </c>
      <c r="I183" s="16" t="s">
        <v>277</v>
      </c>
      <c r="J183" s="18">
        <v>46080</v>
      </c>
      <c r="K183" s="18">
        <v>46083</v>
      </c>
      <c r="L183" s="19" t="str">
        <f>CONCATENATE(NETWORKDAYS(Consumo_Mensal!$J183, Consumo_Mensal!$K183)-1, " dia")</f>
        <v>1 dia</v>
      </c>
      <c r="M183" s="23">
        <f>IFERROR(Consumo_Mensal!$F183*VLOOKUP(Consumo_Mensal!$E183,TBEstoque[[DESCRIÇÃO]:[VALOR UNIT. (R$)]],7,0), 0)</f>
        <v>275.99999999999994</v>
      </c>
    </row>
    <row r="184" spans="2:13" ht="16.8" hidden="1">
      <c r="B184" s="16" t="str">
        <f>"PED-" &amp; Consumo_Mensal!$H184 &amp; "-" &amp; TEXT(Consumo_Mensal!$J184, "ddmmaa")</f>
        <v>PED-Farmácia Satélite - Unidade 03-270226</v>
      </c>
      <c r="C184" s="16">
        <f>INDEX(Materiais_Estoque!$B$5:$B$104, MATCH(TBConsumo[[#This Row],[DESCRIÇÃO]], Materiais_Estoque!$D$5:$D$104, 0))</f>
        <v>20912</v>
      </c>
      <c r="D184" s="20" t="s">
        <v>125</v>
      </c>
      <c r="E184" s="16" t="s">
        <v>32</v>
      </c>
      <c r="F184" s="16">
        <v>125</v>
      </c>
      <c r="G184" s="16" t="s">
        <v>190</v>
      </c>
      <c r="H184" s="16" t="s">
        <v>257</v>
      </c>
      <c r="I184" s="16" t="s">
        <v>277</v>
      </c>
      <c r="J184" s="18">
        <v>46080</v>
      </c>
      <c r="K184" s="18">
        <v>46083</v>
      </c>
      <c r="L184" s="19" t="str">
        <f>CONCATENATE(NETWORKDAYS(Consumo_Mensal!$J184, Consumo_Mensal!$K184)-1, " dia")</f>
        <v>1 dia</v>
      </c>
      <c r="M184" s="23">
        <f>IFERROR(Consumo_Mensal!$F184*VLOOKUP(Consumo_Mensal!$E184,TBEstoque[[DESCRIÇÃO]:[VALOR UNIT. (R$)]],7,0), 0)</f>
        <v>221.375</v>
      </c>
    </row>
    <row r="185" spans="2:13" ht="16.8" hidden="1">
      <c r="B185" s="16" t="str">
        <f>"PED-" &amp; Consumo_Mensal!$H185 &amp; "-" &amp; TEXT(Consumo_Mensal!$J185, "ddmmaa")</f>
        <v>PED-Farmácia Principal - Unidade 01-020326</v>
      </c>
      <c r="C185" s="16">
        <f>INDEX(Materiais_Estoque!$B$5:$B$104, MATCH(TBConsumo[[#This Row],[DESCRIÇÃO]], Materiais_Estoque!$D$5:$D$104, 0))</f>
        <v>20911</v>
      </c>
      <c r="D185" s="20" t="s">
        <v>125</v>
      </c>
      <c r="E185" s="16" t="s">
        <v>31</v>
      </c>
      <c r="F185" s="16">
        <v>75</v>
      </c>
      <c r="G185" s="16" t="s">
        <v>190</v>
      </c>
      <c r="H185" s="16" t="s">
        <v>263</v>
      </c>
      <c r="I185" s="16" t="s">
        <v>275</v>
      </c>
      <c r="J185" s="18">
        <v>46083</v>
      </c>
      <c r="K185" s="18">
        <v>46083</v>
      </c>
      <c r="L185" s="19" t="str">
        <f>CONCATENATE(NETWORKDAYS(Consumo_Mensal!$J185, Consumo_Mensal!$K185)-1, " dia")</f>
        <v>0 dia</v>
      </c>
      <c r="M185" s="23">
        <f>IFERROR(Consumo_Mensal!$F185*VLOOKUP(Consumo_Mensal!$E185,TBEstoque[[DESCRIÇÃO]:[VALOR UNIT. (R$)]],7,0), 0)</f>
        <v>165.6</v>
      </c>
    </row>
    <row r="186" spans="2:13" ht="16.8" hidden="1">
      <c r="B186" s="16" t="str">
        <f>"PED-" &amp; Consumo_Mensal!$H186 &amp; "-" &amp; TEXT(Consumo_Mensal!$J186, "ddmmaa")</f>
        <v>PED-Farmácia Principal - Unidade 01-020326</v>
      </c>
      <c r="C186" s="16">
        <f>INDEX(Materiais_Estoque!$B$5:$B$104, MATCH(TBConsumo[[#This Row],[DESCRIÇÃO]], Materiais_Estoque!$D$5:$D$104, 0))</f>
        <v>20912</v>
      </c>
      <c r="D186" s="20" t="s">
        <v>125</v>
      </c>
      <c r="E186" s="16" t="s">
        <v>32</v>
      </c>
      <c r="F186" s="16">
        <v>125</v>
      </c>
      <c r="G186" s="16" t="s">
        <v>190</v>
      </c>
      <c r="H186" s="16" t="s">
        <v>263</v>
      </c>
      <c r="I186" s="16" t="s">
        <v>275</v>
      </c>
      <c r="J186" s="18">
        <v>46083</v>
      </c>
      <c r="K186" s="18">
        <v>46083</v>
      </c>
      <c r="L186" s="19" t="str">
        <f>CONCATENATE(NETWORKDAYS(Consumo_Mensal!$J186, Consumo_Mensal!$K186)-1, " dia")</f>
        <v>0 dia</v>
      </c>
      <c r="M186" s="23">
        <f>IFERROR(Consumo_Mensal!$F186*VLOOKUP(Consumo_Mensal!$E186,TBEstoque[[DESCRIÇÃO]:[VALOR UNIT. (R$)]],7,0), 0)</f>
        <v>221.375</v>
      </c>
    </row>
    <row r="187" spans="2:13" ht="16.8" hidden="1">
      <c r="B187" s="16" t="str">
        <f>"PED-" &amp; Consumo_Mensal!$H187 &amp; "-" &amp; TEXT(Consumo_Mensal!$J187, "ddmmaa")</f>
        <v>PED-Farmácia Principal - Unidade 01-020326</v>
      </c>
      <c r="C187" s="16">
        <f>INDEX(Materiais_Estoque!$B$5:$B$104, MATCH(TBConsumo[[#This Row],[DESCRIÇÃO]], Materiais_Estoque!$D$5:$D$104, 0))</f>
        <v>20913</v>
      </c>
      <c r="D187" s="20" t="s">
        <v>125</v>
      </c>
      <c r="E187" s="16" t="s">
        <v>74</v>
      </c>
      <c r="F187" s="16">
        <v>100</v>
      </c>
      <c r="G187" s="20" t="s">
        <v>186</v>
      </c>
      <c r="H187" s="16" t="s">
        <v>263</v>
      </c>
      <c r="I187" s="16" t="s">
        <v>275</v>
      </c>
      <c r="J187" s="18">
        <v>46083</v>
      </c>
      <c r="K187" s="18">
        <v>46083</v>
      </c>
      <c r="L187" s="19" t="str">
        <f>CONCATENATE(NETWORKDAYS(Consumo_Mensal!$J187, Consumo_Mensal!$K187)-1, " dia")</f>
        <v>0 dia</v>
      </c>
      <c r="M187" s="23">
        <f>IFERROR(Consumo_Mensal!$F187*VLOOKUP(Consumo_Mensal!$E187,TBEstoque[[DESCRIÇÃO]:[VALOR UNIT. (R$)]],7,0), 0)</f>
        <v>132.24999999999997</v>
      </c>
    </row>
    <row r="188" spans="2:13" ht="16.8" hidden="1">
      <c r="B188" s="16" t="str">
        <f>"PED-" &amp; Consumo_Mensal!$H188 &amp; "-" &amp; TEXT(Consumo_Mensal!$J188, "ddmmaa")</f>
        <v>PED-Farmácia Principal - Unidade 01-020326</v>
      </c>
      <c r="C188" s="16">
        <f>INDEX(Materiais_Estoque!$B$5:$B$104, MATCH(TBConsumo[[#This Row],[DESCRIÇÃO]], Materiais_Estoque!$D$5:$D$104, 0))</f>
        <v>20914</v>
      </c>
      <c r="D188" s="20" t="s">
        <v>125</v>
      </c>
      <c r="E188" s="16" t="s">
        <v>75</v>
      </c>
      <c r="F188" s="16">
        <v>100</v>
      </c>
      <c r="G188" s="20" t="s">
        <v>186</v>
      </c>
      <c r="H188" s="16" t="s">
        <v>263</v>
      </c>
      <c r="I188" s="16" t="s">
        <v>275</v>
      </c>
      <c r="J188" s="18">
        <v>46083</v>
      </c>
      <c r="K188" s="18">
        <v>46083</v>
      </c>
      <c r="L188" s="19" t="str">
        <f>CONCATENATE(NETWORKDAYS(Consumo_Mensal!$J188, Consumo_Mensal!$K188)-1, " dia")</f>
        <v>0 dia</v>
      </c>
      <c r="M188" s="23">
        <f>IFERROR(Consumo_Mensal!$F188*VLOOKUP(Consumo_Mensal!$E188,TBEstoque[[DESCRIÇÃO]:[VALOR UNIT. (R$)]],7,0), 0)</f>
        <v>26.450000000000003</v>
      </c>
    </row>
    <row r="189" spans="2:13" ht="16.8" hidden="1">
      <c r="B189" s="20" t="str">
        <f>"PED-" &amp; Consumo_Mensal!$H189 &amp; "-" &amp; TEXT(Consumo_Mensal!$J189, "ddmmaa")</f>
        <v>PED-Escritório Central - Sede-020326</v>
      </c>
      <c r="C189" s="15">
        <v>20903</v>
      </c>
      <c r="D189" s="20" t="s">
        <v>125</v>
      </c>
      <c r="E189" s="20" t="s">
        <v>23</v>
      </c>
      <c r="F189" s="20">
        <v>1</v>
      </c>
      <c r="G189" s="20" t="s">
        <v>186</v>
      </c>
      <c r="H189" s="16" t="s">
        <v>260</v>
      </c>
      <c r="I189" s="16" t="s">
        <v>271</v>
      </c>
      <c r="J189" s="21">
        <v>46083</v>
      </c>
      <c r="K189" s="18">
        <v>46083</v>
      </c>
      <c r="L189" s="19" t="str">
        <f>CONCATENATE(NETWORKDAYS(Consumo_Mensal!$J189, Consumo_Mensal!$K189)-1, " dia")</f>
        <v>0 dia</v>
      </c>
      <c r="M189" s="23">
        <f>IFERROR(Consumo_Mensal!$F189*VLOOKUP(Consumo_Mensal!$E189,TBEstoque[[DESCRIÇÃO]:[VALOR UNIT. (R$)]],7,0), 0)</f>
        <v>131.1</v>
      </c>
    </row>
    <row r="190" spans="2:13" ht="16.8" hidden="1">
      <c r="B190" s="16" t="str">
        <f>"PED-" &amp; Consumo_Mensal!$H190 &amp; "-" &amp; TEXT(Consumo_Mensal!$J190, "ddmmaa")</f>
        <v>PED-Farmácia Principal - Unidade 01-030326</v>
      </c>
      <c r="C190" s="15">
        <v>20901</v>
      </c>
      <c r="D190" s="20" t="s">
        <v>125</v>
      </c>
      <c r="E190" s="16" t="s">
        <v>53</v>
      </c>
      <c r="F190" s="16">
        <v>10</v>
      </c>
      <c r="G190" s="16" t="s">
        <v>191</v>
      </c>
      <c r="H190" s="16" t="s">
        <v>263</v>
      </c>
      <c r="I190" s="16" t="s">
        <v>281</v>
      </c>
      <c r="J190" s="18">
        <v>46084</v>
      </c>
      <c r="K190" s="18">
        <v>46085</v>
      </c>
      <c r="L190" s="19" t="str">
        <f>CONCATENATE(NETWORKDAYS(Consumo_Mensal!$J190, Consumo_Mensal!$K190)-1, " dia")</f>
        <v>1 dia</v>
      </c>
      <c r="M190" s="23">
        <f>IFERROR(Consumo_Mensal!$F190*VLOOKUP(Consumo_Mensal!$E190,TBEstoque[[DESCRIÇÃO]:[VALOR UNIT. (R$)]],7,0), 0)</f>
        <v>138</v>
      </c>
    </row>
    <row r="191" spans="2:13" ht="16.8" hidden="1">
      <c r="B191" s="16" t="str">
        <f>"PED-" &amp; Consumo_Mensal!$H191 &amp; "-" &amp; TEXT(Consumo_Mensal!$J191, "ddmmaa")</f>
        <v>PED-Farmácia Principal - Unidade 01-030326</v>
      </c>
      <c r="C191" s="15">
        <v>20897</v>
      </c>
      <c r="D191" s="20" t="s">
        <v>125</v>
      </c>
      <c r="E191" s="16" t="s">
        <v>27</v>
      </c>
      <c r="F191" s="16">
        <v>5</v>
      </c>
      <c r="G191" s="16" t="s">
        <v>183</v>
      </c>
      <c r="H191" s="16" t="s">
        <v>263</v>
      </c>
      <c r="I191" s="16" t="s">
        <v>281</v>
      </c>
      <c r="J191" s="18">
        <v>46084</v>
      </c>
      <c r="K191" s="18">
        <v>46085</v>
      </c>
      <c r="L191" s="19" t="str">
        <f>CONCATENATE(NETWORKDAYS(Consumo_Mensal!$J191, Consumo_Mensal!$K191)-1, " dia")</f>
        <v>1 dia</v>
      </c>
      <c r="M191" s="23">
        <f>IFERROR(Consumo_Mensal!$F191*VLOOKUP(Consumo_Mensal!$E191,TBEstoque[[DESCRIÇÃO]:[VALOR UNIT. (R$)]],7,0), 0)</f>
        <v>166.74999999999997</v>
      </c>
    </row>
    <row r="192" spans="2:13" ht="16.8" hidden="1">
      <c r="B192" s="16" t="str">
        <f>"PED-" &amp; Consumo_Mensal!$H192 &amp; "-" &amp; TEXT(Consumo_Mensal!$J192, "ddmmaa")</f>
        <v>PED-Farmácia Principal - Unidade 01-030326</v>
      </c>
      <c r="C192" s="15">
        <v>20896</v>
      </c>
      <c r="D192" s="20" t="s">
        <v>125</v>
      </c>
      <c r="E192" s="16" t="s">
        <v>29</v>
      </c>
      <c r="F192" s="16">
        <v>5</v>
      </c>
      <c r="G192" s="16" t="s">
        <v>183</v>
      </c>
      <c r="H192" s="16" t="s">
        <v>263</v>
      </c>
      <c r="I192" s="16" t="s">
        <v>281</v>
      </c>
      <c r="J192" s="18">
        <v>46084</v>
      </c>
      <c r="K192" s="18">
        <v>46085</v>
      </c>
      <c r="L192" s="19" t="str">
        <f>CONCATENATE(NETWORKDAYS(Consumo_Mensal!$J192, Consumo_Mensal!$K192)-1, " dia")</f>
        <v>1 dia</v>
      </c>
      <c r="M192" s="23">
        <f>IFERROR(Consumo_Mensal!$F192*VLOOKUP(Consumo_Mensal!$E192,TBEstoque[[DESCRIÇÃO]:[VALOR UNIT. (R$)]],7,0), 0)</f>
        <v>166.74999999999997</v>
      </c>
    </row>
    <row r="193" spans="2:13" ht="16.8" hidden="1">
      <c r="B193" s="16" t="str">
        <f>"PED-" &amp; Consumo_Mensal!$H193 &amp; "-" &amp; TEXT(Consumo_Mensal!$J193, "ddmmaa")</f>
        <v>PED-Farmácia Principal - Unidade 01-030326</v>
      </c>
      <c r="C193" s="15">
        <v>20984</v>
      </c>
      <c r="D193" s="20" t="s">
        <v>125</v>
      </c>
      <c r="E193" s="16" t="s">
        <v>30</v>
      </c>
      <c r="F193" s="16">
        <v>20</v>
      </c>
      <c r="G193" s="16" t="s">
        <v>191</v>
      </c>
      <c r="H193" s="16" t="s">
        <v>263</v>
      </c>
      <c r="I193" s="16" t="s">
        <v>281</v>
      </c>
      <c r="J193" s="18">
        <v>46084</v>
      </c>
      <c r="K193" s="18">
        <v>46085</v>
      </c>
      <c r="L193" s="19" t="str">
        <f>CONCATENATE(NETWORKDAYS(Consumo_Mensal!$J193, Consumo_Mensal!$K193)-1, " dia")</f>
        <v>1 dia</v>
      </c>
      <c r="M193" s="23">
        <f>IFERROR(Consumo_Mensal!$F193*VLOOKUP(Consumo_Mensal!$E193,TBEstoque[[DESCRIÇÃO]:[VALOR UNIT. (R$)]],7,0), 0)</f>
        <v>193.89</v>
      </c>
    </row>
    <row r="194" spans="2:13" ht="16.8" hidden="1">
      <c r="B194" s="16" t="str">
        <f>"PED-" &amp; Consumo_Mensal!$H194 &amp; "-" &amp; TEXT(Consumo_Mensal!$J194, "ddmmaa")</f>
        <v>PED-Farmácia Satélite - Unidade 05-030326</v>
      </c>
      <c r="C194" s="15">
        <v>20894</v>
      </c>
      <c r="D194" s="20" t="s">
        <v>125</v>
      </c>
      <c r="E194" s="16" t="s">
        <v>83</v>
      </c>
      <c r="F194" s="16">
        <v>10</v>
      </c>
      <c r="G194" s="16" t="s">
        <v>183</v>
      </c>
      <c r="H194" s="16" t="s">
        <v>262</v>
      </c>
      <c r="I194" s="16" t="s">
        <v>276</v>
      </c>
      <c r="J194" s="18">
        <v>46084</v>
      </c>
      <c r="K194" s="18">
        <v>46085</v>
      </c>
      <c r="L194" s="19" t="str">
        <f>CONCATENATE(NETWORKDAYS(Consumo_Mensal!$J194, Consumo_Mensal!$K194)-1, " dia")</f>
        <v>1 dia</v>
      </c>
      <c r="M194" s="23">
        <f>IFERROR(Consumo_Mensal!$F194*VLOOKUP(Consumo_Mensal!$E194,TBEstoque[[DESCRIÇÃO]:[VALOR UNIT. (R$)]],7,0), 0)</f>
        <v>333.49999999999994</v>
      </c>
    </row>
    <row r="195" spans="2:13" ht="16.8" hidden="1">
      <c r="B195" s="16" t="str">
        <f>"PED-" &amp; Consumo_Mensal!$H195 &amp; "-" &amp; TEXT(Consumo_Mensal!$J195, "ddmmaa")</f>
        <v>PED-Farmácia Satélite - Unidade 05-030326</v>
      </c>
      <c r="C195" s="15">
        <v>20903</v>
      </c>
      <c r="D195" s="20" t="s">
        <v>125</v>
      </c>
      <c r="E195" s="16" t="s">
        <v>23</v>
      </c>
      <c r="F195" s="16">
        <v>4</v>
      </c>
      <c r="G195" s="20" t="s">
        <v>186</v>
      </c>
      <c r="H195" s="16" t="s">
        <v>262</v>
      </c>
      <c r="I195" s="16" t="s">
        <v>276</v>
      </c>
      <c r="J195" s="18">
        <v>46084</v>
      </c>
      <c r="K195" s="18">
        <v>46085</v>
      </c>
      <c r="L195" s="19" t="str">
        <f>CONCATENATE(NETWORKDAYS(Consumo_Mensal!$J195, Consumo_Mensal!$K195)-1, " dia")</f>
        <v>1 dia</v>
      </c>
      <c r="M195" s="23">
        <f>IFERROR(Consumo_Mensal!$F195*VLOOKUP(Consumo_Mensal!$E195,TBEstoque[[DESCRIÇÃO]:[VALOR UNIT. (R$)]],7,0), 0)</f>
        <v>524.4</v>
      </c>
    </row>
    <row r="196" spans="2:13" ht="16.8">
      <c r="B196" s="16" t="str">
        <f>"PED-" &amp; Consumo_Mensal!$H196 &amp; "-" &amp; TEXT(Consumo_Mensal!$J196, "ddmmaa")</f>
        <v>PED-Planta Industrial - Suprimentos-050326</v>
      </c>
      <c r="C196" s="15">
        <v>20894</v>
      </c>
      <c r="D196" s="20" t="s">
        <v>125</v>
      </c>
      <c r="E196" s="16" t="s">
        <v>83</v>
      </c>
      <c r="F196" s="16">
        <v>20</v>
      </c>
      <c r="G196" s="16" t="s">
        <v>183</v>
      </c>
      <c r="H196" s="16" t="s">
        <v>258</v>
      </c>
      <c r="I196" s="16" t="s">
        <v>280</v>
      </c>
      <c r="J196" s="18">
        <v>46086</v>
      </c>
      <c r="K196" s="18">
        <v>46087</v>
      </c>
      <c r="L196" s="19" t="str">
        <f>CONCATENATE(NETWORKDAYS(Consumo_Mensal!$J196, Consumo_Mensal!$K196)-1, " dia")</f>
        <v>1 dia</v>
      </c>
      <c r="M196" s="23">
        <f>IFERROR(Consumo_Mensal!$F196*VLOOKUP(Consumo_Mensal!$E196,TBEstoque[[DESCRIÇÃO]:[VALOR UNIT. (R$)]],7,0), 0)</f>
        <v>666.99999999999989</v>
      </c>
    </row>
    <row r="197" spans="2:13" ht="16.8">
      <c r="B197" s="16" t="str">
        <f>"PED-" &amp; Consumo_Mensal!$H197 &amp; "-" &amp; TEXT(Consumo_Mensal!$J197, "ddmmaa")</f>
        <v>PED-Planta Industrial - Suprimentos-050326</v>
      </c>
      <c r="C197" s="15">
        <v>20893</v>
      </c>
      <c r="D197" s="20" t="s">
        <v>125</v>
      </c>
      <c r="E197" s="16" t="s">
        <v>87</v>
      </c>
      <c r="F197" s="16">
        <v>40</v>
      </c>
      <c r="G197" s="16" t="s">
        <v>183</v>
      </c>
      <c r="H197" s="16" t="s">
        <v>258</v>
      </c>
      <c r="I197" s="16" t="s">
        <v>280</v>
      </c>
      <c r="J197" s="18">
        <v>46086</v>
      </c>
      <c r="K197" s="18">
        <v>46087</v>
      </c>
      <c r="L197" s="19" t="str">
        <f>CONCATENATE(NETWORKDAYS(Consumo_Mensal!$J197, Consumo_Mensal!$K197)-1, " dia")</f>
        <v>1 dia</v>
      </c>
      <c r="M197" s="23">
        <f>IFERROR(Consumo_Mensal!$F197*VLOOKUP(Consumo_Mensal!$E197,TBEstoque[[DESCRIÇÃO]:[VALOR UNIT. (R$)]],7,0), 0)</f>
        <v>1333.9999999999998</v>
      </c>
    </row>
    <row r="198" spans="2:13" ht="16.8">
      <c r="B198" s="16" t="str">
        <f>"PED-" &amp; Consumo_Mensal!$H198 &amp; "-" &amp; TEXT(Consumo_Mensal!$J198, "ddmmaa")</f>
        <v>PED-Planta Industrial - Suprimentos-050326</v>
      </c>
      <c r="C198" s="15">
        <v>20892</v>
      </c>
      <c r="D198" s="20" t="s">
        <v>125</v>
      </c>
      <c r="E198" s="16" t="s">
        <v>88</v>
      </c>
      <c r="F198" s="16">
        <v>30</v>
      </c>
      <c r="G198" s="16" t="s">
        <v>183</v>
      </c>
      <c r="H198" s="16" t="s">
        <v>258</v>
      </c>
      <c r="I198" s="16" t="s">
        <v>280</v>
      </c>
      <c r="J198" s="18">
        <v>46086</v>
      </c>
      <c r="K198" s="18">
        <v>46087</v>
      </c>
      <c r="L198" s="19" t="str">
        <f>CONCATENATE(NETWORKDAYS(Consumo_Mensal!$J198, Consumo_Mensal!$K198)-1, " dia")</f>
        <v>1 dia</v>
      </c>
      <c r="M198" s="23">
        <f>IFERROR(Consumo_Mensal!$F198*VLOOKUP(Consumo_Mensal!$E198,TBEstoque[[DESCRIÇÃO]:[VALOR UNIT. (R$)]],7,0), 0)</f>
        <v>1000.4999999999998</v>
      </c>
    </row>
    <row r="199" spans="2:13" ht="16.8" hidden="1">
      <c r="B199" s="16" t="str">
        <f>"PED-" &amp; Consumo_Mensal!$H199 &amp; "-" &amp; TEXT(Consumo_Mensal!$J199, "ddmmaa")</f>
        <v>PED-Farmácia Satélite - Unidade 03-050326</v>
      </c>
      <c r="C199" s="15">
        <v>20902</v>
      </c>
      <c r="D199" s="20" t="s">
        <v>125</v>
      </c>
      <c r="E199" s="16" t="s">
        <v>41</v>
      </c>
      <c r="F199" s="16">
        <v>10</v>
      </c>
      <c r="G199" s="16" t="s">
        <v>191</v>
      </c>
      <c r="H199" s="16" t="s">
        <v>257</v>
      </c>
      <c r="I199" s="16" t="s">
        <v>277</v>
      </c>
      <c r="J199" s="18">
        <v>46086</v>
      </c>
      <c r="K199" s="18">
        <v>46087</v>
      </c>
      <c r="L199" s="19" t="str">
        <f>CONCATENATE(NETWORKDAYS(Consumo_Mensal!$J199, Consumo_Mensal!$K199)-1, " dia")</f>
        <v>1 dia</v>
      </c>
      <c r="M199" s="23">
        <f>IFERROR(Consumo_Mensal!$F199*VLOOKUP(Consumo_Mensal!$E199,TBEstoque[[DESCRIÇÃO]:[VALOR UNIT. (R$)]],7,0), 0)</f>
        <v>333.49999999999994</v>
      </c>
    </row>
    <row r="200" spans="2:13" ht="16.8" hidden="1">
      <c r="B200" s="16" t="str">
        <f>"PED-" &amp; Consumo_Mensal!$H200 &amp; "-" &amp; TEXT(Consumo_Mensal!$J200, "ddmmaa")</f>
        <v>PED-Farmácia Satélite - Unidade 03-050326</v>
      </c>
      <c r="C200" s="15">
        <v>20898</v>
      </c>
      <c r="D200" s="20" t="s">
        <v>125</v>
      </c>
      <c r="E200" s="16" t="s">
        <v>28</v>
      </c>
      <c r="F200" s="16">
        <v>10</v>
      </c>
      <c r="G200" s="16" t="s">
        <v>183</v>
      </c>
      <c r="H200" s="16" t="s">
        <v>257</v>
      </c>
      <c r="I200" s="16" t="s">
        <v>277</v>
      </c>
      <c r="J200" s="18">
        <v>46086</v>
      </c>
      <c r="K200" s="18">
        <v>46087</v>
      </c>
      <c r="L200" s="19" t="str">
        <f>CONCATENATE(NETWORKDAYS(Consumo_Mensal!$J200, Consumo_Mensal!$K200)-1, " dia")</f>
        <v>1 dia</v>
      </c>
      <c r="M200" s="23">
        <f>IFERROR(Consumo_Mensal!$F200*VLOOKUP(Consumo_Mensal!$E200,TBEstoque[[DESCRIÇÃO]:[VALOR UNIT. (R$)]],7,0), 0)</f>
        <v>333.49999999999994</v>
      </c>
    </row>
    <row r="201" spans="2:13" ht="16.8" hidden="1">
      <c r="B201" s="16" t="str">
        <f>"PED-" &amp; Consumo_Mensal!$H201 &amp; "-" &amp; TEXT(Consumo_Mensal!$J201, "ddmmaa")</f>
        <v>PED-Farmácia Principal - Unidade 01-090326</v>
      </c>
      <c r="C201" s="15">
        <v>20903</v>
      </c>
      <c r="D201" s="20" t="s">
        <v>125</v>
      </c>
      <c r="E201" s="16" t="s">
        <v>23</v>
      </c>
      <c r="F201" s="16">
        <v>2</v>
      </c>
      <c r="G201" s="20" t="s">
        <v>186</v>
      </c>
      <c r="H201" s="16" t="s">
        <v>263</v>
      </c>
      <c r="I201" s="16" t="s">
        <v>281</v>
      </c>
      <c r="J201" s="18">
        <v>46090</v>
      </c>
      <c r="K201" s="18">
        <v>46090</v>
      </c>
      <c r="L201" s="19" t="str">
        <f>CONCATENATE(NETWORKDAYS(Consumo_Mensal!$J201, Consumo_Mensal!$K201)-1, " dia")</f>
        <v>0 dia</v>
      </c>
      <c r="M201" s="23">
        <f>IFERROR(Consumo_Mensal!$F201*VLOOKUP(Consumo_Mensal!$E201,TBEstoque[[DESCRIÇÃO]:[VALOR UNIT. (R$)]],7,0), 0)</f>
        <v>262.2</v>
      </c>
    </row>
    <row r="202" spans="2:13" ht="16.8" hidden="1">
      <c r="B202" s="16" t="str">
        <f>"PED-" &amp; Consumo_Mensal!$H202 &amp; "-" &amp; TEXT(Consumo_Mensal!$J202, "ddmmaa")</f>
        <v>PED-Farmácia Principal - Unidade 01-090326</v>
      </c>
      <c r="C202" s="15">
        <v>20901</v>
      </c>
      <c r="D202" s="20" t="s">
        <v>125</v>
      </c>
      <c r="E202" s="16" t="s">
        <v>53</v>
      </c>
      <c r="F202" s="16">
        <v>8</v>
      </c>
      <c r="G202" s="16" t="s">
        <v>191</v>
      </c>
      <c r="H202" s="16" t="s">
        <v>263</v>
      </c>
      <c r="I202" s="16" t="s">
        <v>281</v>
      </c>
      <c r="J202" s="18">
        <v>46090</v>
      </c>
      <c r="K202" s="18">
        <v>46090</v>
      </c>
      <c r="L202" s="19" t="str">
        <f>CONCATENATE(NETWORKDAYS(Consumo_Mensal!$J202, Consumo_Mensal!$K202)-1, " dia")</f>
        <v>0 dia</v>
      </c>
      <c r="M202" s="23">
        <f>IFERROR(Consumo_Mensal!$F202*VLOOKUP(Consumo_Mensal!$E202,TBEstoque[[DESCRIÇÃO]:[VALOR UNIT. (R$)]],7,0), 0)</f>
        <v>110.39999999999999</v>
      </c>
    </row>
    <row r="203" spans="2:13" ht="16.8" hidden="1">
      <c r="B203" s="16" t="str">
        <f>"PED-" &amp; Consumo_Mensal!$H203 &amp; "-" &amp; TEXT(Consumo_Mensal!$J203, "ddmmaa")</f>
        <v>PED-Farmácia Principal - Unidade 01-090326</v>
      </c>
      <c r="C203" s="15">
        <v>20897</v>
      </c>
      <c r="D203" s="20" t="s">
        <v>125</v>
      </c>
      <c r="E203" s="16" t="s">
        <v>27</v>
      </c>
      <c r="F203" s="16">
        <v>6</v>
      </c>
      <c r="G203" s="16" t="s">
        <v>183</v>
      </c>
      <c r="H203" s="16" t="s">
        <v>263</v>
      </c>
      <c r="I203" s="16" t="s">
        <v>281</v>
      </c>
      <c r="J203" s="18">
        <v>46090</v>
      </c>
      <c r="K203" s="18">
        <v>46090</v>
      </c>
      <c r="L203" s="19" t="str">
        <f>CONCATENATE(NETWORKDAYS(Consumo_Mensal!$J203, Consumo_Mensal!$K203)-1, " dia")</f>
        <v>0 dia</v>
      </c>
      <c r="M203" s="23">
        <f>IFERROR(Consumo_Mensal!$F203*VLOOKUP(Consumo_Mensal!$E203,TBEstoque[[DESCRIÇÃO]:[VALOR UNIT. (R$)]],7,0), 0)</f>
        <v>200.09999999999997</v>
      </c>
    </row>
    <row r="204" spans="2:13" ht="16.8" hidden="1">
      <c r="B204" s="16" t="str">
        <f>"PED-" &amp; Consumo_Mensal!$H204 &amp; "-" &amp; TEXT(Consumo_Mensal!$J204, "ddmmaa")</f>
        <v>PED-Farmácia Principal - Unidade 01-090326</v>
      </c>
      <c r="C204" s="16">
        <f>INDEX(Materiais_Estoque!$B$5:$B$104, MATCH(TBConsumo[[#This Row],[DESCRIÇÃO]], Materiais_Estoque!$D$5:$D$104, 0))</f>
        <v>20918</v>
      </c>
      <c r="D204" s="20" t="s">
        <v>125</v>
      </c>
      <c r="E204" s="16" t="s">
        <v>89</v>
      </c>
      <c r="F204" s="16">
        <v>1</v>
      </c>
      <c r="G204" s="16" t="s">
        <v>183</v>
      </c>
      <c r="H204" s="16" t="s">
        <v>263</v>
      </c>
      <c r="I204" s="16" t="s">
        <v>281</v>
      </c>
      <c r="J204" s="18">
        <v>46090</v>
      </c>
      <c r="K204" s="18">
        <v>46090</v>
      </c>
      <c r="L204" s="19" t="str">
        <f>CONCATENATE(NETWORKDAYS(Consumo_Mensal!$J204, Consumo_Mensal!$K204)-1, " dia")</f>
        <v>0 dia</v>
      </c>
      <c r="M204" s="23">
        <f>IFERROR(Consumo_Mensal!$F204*VLOOKUP(Consumo_Mensal!$E204,TBEstoque[[DESCRIÇÃO]:[VALOR UNIT. (R$)]],7,0), 0)</f>
        <v>0</v>
      </c>
    </row>
    <row r="205" spans="2:13" ht="16.8" hidden="1">
      <c r="B205" s="16" t="str">
        <f>"PED-" &amp; Consumo_Mensal!$H205 &amp; "-" &amp; TEXT(Consumo_Mensal!$J205, "ddmmaa")</f>
        <v>PED-Farmácia Principal - Unidade 01-090326</v>
      </c>
      <c r="C205" s="15">
        <v>20984</v>
      </c>
      <c r="D205" s="20" t="s">
        <v>125</v>
      </c>
      <c r="E205" s="16" t="s">
        <v>30</v>
      </c>
      <c r="F205" s="16">
        <v>20</v>
      </c>
      <c r="G205" s="16" t="s">
        <v>191</v>
      </c>
      <c r="H205" s="16" t="s">
        <v>263</v>
      </c>
      <c r="I205" s="16" t="s">
        <v>281</v>
      </c>
      <c r="J205" s="18">
        <v>46090</v>
      </c>
      <c r="K205" s="18">
        <v>46090</v>
      </c>
      <c r="L205" s="19" t="str">
        <f>CONCATENATE(NETWORKDAYS(Consumo_Mensal!$J205, Consumo_Mensal!$K205)-1, " dia")</f>
        <v>0 dia</v>
      </c>
      <c r="M205" s="23">
        <f>IFERROR(Consumo_Mensal!$F205*VLOOKUP(Consumo_Mensal!$E205,TBEstoque[[DESCRIÇÃO]:[VALOR UNIT. (R$)]],7,0), 0)</f>
        <v>193.89</v>
      </c>
    </row>
    <row r="206" spans="2:13" ht="16.8" hidden="1">
      <c r="B206" s="16" t="str">
        <f>"PED-" &amp; Consumo_Mensal!$H206 &amp; "-" &amp; TEXT(Consumo_Mensal!$J206, "ddmmaa")</f>
        <v>PED-Farmácia Principal - Unidade 01-090326</v>
      </c>
      <c r="C206" s="15">
        <v>20890</v>
      </c>
      <c r="D206" s="20" t="s">
        <v>125</v>
      </c>
      <c r="E206" s="16" t="s">
        <v>54</v>
      </c>
      <c r="F206" s="16">
        <v>8</v>
      </c>
      <c r="G206" s="16" t="s">
        <v>191</v>
      </c>
      <c r="H206" s="16" t="s">
        <v>263</v>
      </c>
      <c r="I206" s="16" t="s">
        <v>281</v>
      </c>
      <c r="J206" s="18">
        <v>46090</v>
      </c>
      <c r="K206" s="18">
        <v>46090</v>
      </c>
      <c r="L206" s="19" t="str">
        <f>CONCATENATE(NETWORKDAYS(Consumo_Mensal!$J206, Consumo_Mensal!$K206)-1, " dia")</f>
        <v>0 dia</v>
      </c>
      <c r="M206" s="23">
        <f>IFERROR(Consumo_Mensal!$F206*VLOOKUP(Consumo_Mensal!$E206,TBEstoque[[DESCRIÇÃO]:[VALOR UNIT. (R$)]],7,0), 0)</f>
        <v>220.70799999999997</v>
      </c>
    </row>
    <row r="207" spans="2:13" ht="16.8" hidden="1">
      <c r="B207" s="16" t="str">
        <f>"PED-" &amp; Consumo_Mensal!$H207 &amp; "-" &amp; TEXT(Consumo_Mensal!$J207, "ddmmaa")</f>
        <v>PED-Farmácia Principal - Unidade 01-090326</v>
      </c>
      <c r="C207" s="15">
        <v>20904</v>
      </c>
      <c r="D207" s="20" t="s">
        <v>125</v>
      </c>
      <c r="E207" s="13" t="s">
        <v>120</v>
      </c>
      <c r="F207" s="16">
        <v>8</v>
      </c>
      <c r="G207" s="16" t="s">
        <v>191</v>
      </c>
      <c r="H207" s="16" t="s">
        <v>263</v>
      </c>
      <c r="I207" s="16" t="s">
        <v>281</v>
      </c>
      <c r="J207" s="18">
        <v>46090</v>
      </c>
      <c r="K207" s="18">
        <v>46090</v>
      </c>
      <c r="L207" s="19" t="str">
        <f>CONCATENATE(NETWORKDAYS(Consumo_Mensal!$J207, Consumo_Mensal!$K207)-1, " dia")</f>
        <v>0 dia</v>
      </c>
      <c r="M207" s="23">
        <f>IFERROR(Consumo_Mensal!$F207*VLOOKUP(Consumo_Mensal!$E207,TBEstoque[[DESCRIÇÃO]:[VALOR UNIT. (R$)]],7,0), 0)</f>
        <v>82.616</v>
      </c>
    </row>
    <row r="208" spans="2:13" ht="16.8" hidden="1">
      <c r="B208" s="16" t="str">
        <f>"PED-" &amp; Consumo_Mensal!$H208 &amp; "-" &amp; TEXT(Consumo_Mensal!$J208, "ddmmaa")</f>
        <v>PED-Farmácia Principal - Unidade 01-090326</v>
      </c>
      <c r="C208" s="16">
        <f>INDEX(Materiais_Estoque!$B$5:$B$104, MATCH(TBConsumo[[#This Row],[DESCRIÇÃO]], Materiais_Estoque!$D$5:$D$104, 0))</f>
        <v>20912</v>
      </c>
      <c r="D208" s="20" t="s">
        <v>125</v>
      </c>
      <c r="E208" s="16" t="s">
        <v>32</v>
      </c>
      <c r="F208" s="16">
        <v>150</v>
      </c>
      <c r="G208" s="16" t="s">
        <v>190</v>
      </c>
      <c r="H208" s="16" t="s">
        <v>263</v>
      </c>
      <c r="I208" s="16" t="s">
        <v>275</v>
      </c>
      <c r="J208" s="18">
        <v>46090</v>
      </c>
      <c r="K208" s="18">
        <v>46090</v>
      </c>
      <c r="L208" s="19" t="str">
        <f>CONCATENATE(NETWORKDAYS(Consumo_Mensal!$J208, Consumo_Mensal!$K208)-1, " dia")</f>
        <v>0 dia</v>
      </c>
      <c r="M208" s="23">
        <f>IFERROR(Consumo_Mensal!$F208*VLOOKUP(Consumo_Mensal!$E208,TBEstoque[[DESCRIÇÃO]:[VALOR UNIT. (R$)]],7,0), 0)</f>
        <v>265.64999999999998</v>
      </c>
    </row>
    <row r="209" spans="2:13" ht="16.8" hidden="1">
      <c r="B209" s="16" t="str">
        <f>"PED-" &amp; Consumo_Mensal!$H209 &amp; "-" &amp; TEXT(Consumo_Mensal!$J209, "ddmmaa")</f>
        <v>PED-Farmácia Principal - Unidade 01-090326</v>
      </c>
      <c r="C209" s="16">
        <f>INDEX(Materiais_Estoque!$B$5:$B$104, MATCH(TBConsumo[[#This Row],[DESCRIÇÃO]], Materiais_Estoque!$D$5:$D$104, 0))</f>
        <v>20913</v>
      </c>
      <c r="D209" s="20" t="s">
        <v>125</v>
      </c>
      <c r="E209" s="16" t="s">
        <v>74</v>
      </c>
      <c r="F209" s="16">
        <v>100</v>
      </c>
      <c r="G209" s="20" t="s">
        <v>186</v>
      </c>
      <c r="H209" s="16" t="s">
        <v>263</v>
      </c>
      <c r="I209" s="16" t="s">
        <v>275</v>
      </c>
      <c r="J209" s="18">
        <v>46090</v>
      </c>
      <c r="K209" s="18">
        <v>46090</v>
      </c>
      <c r="L209" s="19" t="str">
        <f>CONCATENATE(NETWORKDAYS(Consumo_Mensal!$J209, Consumo_Mensal!$K209)-1, " dia")</f>
        <v>0 dia</v>
      </c>
      <c r="M209" s="23">
        <f>IFERROR(Consumo_Mensal!$F209*VLOOKUP(Consumo_Mensal!$E209,TBEstoque[[DESCRIÇÃO]:[VALOR UNIT. (R$)]],7,0), 0)</f>
        <v>132.24999999999997</v>
      </c>
    </row>
    <row r="210" spans="2:13" ht="16.8" hidden="1">
      <c r="B210" s="16" t="str">
        <f>"PED-" &amp; Consumo_Mensal!$H210 &amp; "-" &amp; TEXT(Consumo_Mensal!$J210, "ddmmaa")</f>
        <v>PED-Centro de Distribuição - Áragon-090326</v>
      </c>
      <c r="C210" s="15">
        <v>20892</v>
      </c>
      <c r="D210" s="20" t="s">
        <v>125</v>
      </c>
      <c r="E210" s="16" t="s">
        <v>88</v>
      </c>
      <c r="F210" s="16">
        <v>1</v>
      </c>
      <c r="G210" s="16" t="s">
        <v>183</v>
      </c>
      <c r="H210" s="16" t="s">
        <v>286</v>
      </c>
      <c r="I210" s="16" t="s">
        <v>283</v>
      </c>
      <c r="J210" s="18">
        <v>46090</v>
      </c>
      <c r="K210" s="18">
        <v>46090</v>
      </c>
      <c r="L210" s="19" t="str">
        <f>CONCATENATE(NETWORKDAYS(Consumo_Mensal!$J210, Consumo_Mensal!$K210)-1, " dia")</f>
        <v>0 dia</v>
      </c>
      <c r="M210" s="23">
        <f>IFERROR(Consumo_Mensal!$F210*VLOOKUP(Consumo_Mensal!$E210,TBEstoque[[DESCRIÇÃO]:[VALOR UNIT. (R$)]],7,0), 0)</f>
        <v>33.349999999999994</v>
      </c>
    </row>
    <row r="211" spans="2:13" ht="16.8" hidden="1">
      <c r="B211" s="16" t="str">
        <f>"PED-" &amp; Consumo_Mensal!$H211 &amp; "-" &amp; TEXT(Consumo_Mensal!$J211, "ddmmaa")</f>
        <v>PED-Farmácia Satélite - Unidade 03-110326</v>
      </c>
      <c r="C211" s="15">
        <v>20903</v>
      </c>
      <c r="D211" s="20" t="s">
        <v>125</v>
      </c>
      <c r="E211" s="16" t="s">
        <v>23</v>
      </c>
      <c r="F211" s="16">
        <v>4</v>
      </c>
      <c r="G211" s="20" t="s">
        <v>186</v>
      </c>
      <c r="H211" s="16" t="s">
        <v>257</v>
      </c>
      <c r="I211" s="16" t="s">
        <v>277</v>
      </c>
      <c r="J211" s="18">
        <v>46092</v>
      </c>
      <c r="K211" s="18">
        <v>46093</v>
      </c>
      <c r="L211" s="19" t="str">
        <f>CONCATENATE(NETWORKDAYS(Consumo_Mensal!$J211, Consumo_Mensal!$K211)-1, " dia")</f>
        <v>1 dia</v>
      </c>
      <c r="M211" s="23">
        <f>IFERROR(Consumo_Mensal!$F211*VLOOKUP(Consumo_Mensal!$E211,TBEstoque[[DESCRIÇÃO]:[VALOR UNIT. (R$)]],7,0), 0)</f>
        <v>524.4</v>
      </c>
    </row>
    <row r="212" spans="2:13" ht="16.8" hidden="1">
      <c r="B212" s="16" t="str">
        <f>"PED-" &amp; Consumo_Mensal!$H212 &amp; "-" &amp; TEXT(Consumo_Mensal!$J212, "ddmmaa")</f>
        <v>PED-Farmácia Satélite - Unidade 03-110326</v>
      </c>
      <c r="C212" s="15">
        <v>20901</v>
      </c>
      <c r="D212" s="20" t="s">
        <v>125</v>
      </c>
      <c r="E212" s="16" t="s">
        <v>53</v>
      </c>
      <c r="F212" s="16">
        <v>6</v>
      </c>
      <c r="G212" s="16" t="s">
        <v>191</v>
      </c>
      <c r="H212" s="16" t="s">
        <v>257</v>
      </c>
      <c r="I212" s="16" t="s">
        <v>277</v>
      </c>
      <c r="J212" s="18">
        <v>46092</v>
      </c>
      <c r="K212" s="18">
        <v>46093</v>
      </c>
      <c r="L212" s="19" t="str">
        <f>CONCATENATE(NETWORKDAYS(Consumo_Mensal!$J212, Consumo_Mensal!$K212)-1, " dia")</f>
        <v>1 dia</v>
      </c>
      <c r="M212" s="23">
        <f>IFERROR(Consumo_Mensal!$F212*VLOOKUP(Consumo_Mensal!$E212,TBEstoque[[DESCRIÇÃO]:[VALOR UNIT. (R$)]],7,0), 0)</f>
        <v>82.8</v>
      </c>
    </row>
    <row r="213" spans="2:13" ht="16.8">
      <c r="B213" s="16" t="str">
        <f>"PED-" &amp; Consumo_Mensal!$H213 &amp; "-" &amp; TEXT(Consumo_Mensal!$J213, "ddmmaa")</f>
        <v>PED-Planta Industrial - Suprimentos-120326</v>
      </c>
      <c r="C213" s="15">
        <v>20902</v>
      </c>
      <c r="D213" s="20" t="s">
        <v>125</v>
      </c>
      <c r="E213" s="16" t="s">
        <v>41</v>
      </c>
      <c r="F213" s="16">
        <v>50</v>
      </c>
      <c r="G213" s="16" t="s">
        <v>191</v>
      </c>
      <c r="H213" s="16" t="s">
        <v>258</v>
      </c>
      <c r="I213" s="16" t="s">
        <v>280</v>
      </c>
      <c r="J213" s="18">
        <v>46093</v>
      </c>
      <c r="K213" s="18">
        <v>46094</v>
      </c>
      <c r="L213" s="19" t="str">
        <f>CONCATENATE(NETWORKDAYS(Consumo_Mensal!$J213, Consumo_Mensal!$K213)-1, " dia")</f>
        <v>1 dia</v>
      </c>
      <c r="M213" s="23">
        <f>IFERROR(Consumo_Mensal!$F213*VLOOKUP(Consumo_Mensal!$E213,TBEstoque[[DESCRIÇÃO]:[VALOR UNIT. (R$)]],7,0), 0)</f>
        <v>1667.4999999999998</v>
      </c>
    </row>
    <row r="214" spans="2:13" ht="16.8" hidden="1">
      <c r="B214" s="16" t="str">
        <f>"PED-" &amp; Consumo_Mensal!$H214 &amp; "-" &amp; TEXT(Consumo_Mensal!$J214, "ddmmaa")</f>
        <v>PED-Farmácia Satélite - Unidade 03-120326</v>
      </c>
      <c r="C214" s="16">
        <f>INDEX(Materiais_Estoque!$B$5:$B$104, MATCH(TBConsumo[[#This Row],[DESCRIÇÃO]], Materiais_Estoque!$D$5:$D$104, 0))</f>
        <v>20918</v>
      </c>
      <c r="D214" s="20" t="s">
        <v>125</v>
      </c>
      <c r="E214" s="16" t="s">
        <v>89</v>
      </c>
      <c r="F214" s="16">
        <v>1</v>
      </c>
      <c r="G214" s="16" t="s">
        <v>183</v>
      </c>
      <c r="H214" s="16" t="s">
        <v>257</v>
      </c>
      <c r="I214" s="16" t="s">
        <v>277</v>
      </c>
      <c r="J214" s="18">
        <v>46093</v>
      </c>
      <c r="K214" s="18">
        <v>46094</v>
      </c>
      <c r="L214" s="19" t="str">
        <f>CONCATENATE(NETWORKDAYS(Consumo_Mensal!$J214, Consumo_Mensal!$K214)-1, " dia")</f>
        <v>1 dia</v>
      </c>
      <c r="M214" s="23">
        <f>IFERROR(Consumo_Mensal!$F214*VLOOKUP(Consumo_Mensal!$E214,TBEstoque[[DESCRIÇÃO]:[VALOR UNIT. (R$)]],7,0), 0)</f>
        <v>0</v>
      </c>
    </row>
    <row r="215" spans="2:13" ht="16.8" hidden="1">
      <c r="B215" s="16" t="str">
        <f>"PED-" &amp; Consumo_Mensal!$H215 &amp; "-" &amp; TEXT(Consumo_Mensal!$J215, "ddmmaa")</f>
        <v>PED-Farmácia Satélite - Unidade 03-120326</v>
      </c>
      <c r="C215" s="15">
        <v>20904</v>
      </c>
      <c r="D215" s="20" t="s">
        <v>125</v>
      </c>
      <c r="E215" s="13" t="s">
        <v>120</v>
      </c>
      <c r="F215" s="16">
        <v>6</v>
      </c>
      <c r="G215" s="16" t="s">
        <v>191</v>
      </c>
      <c r="H215" s="16" t="s">
        <v>257</v>
      </c>
      <c r="I215" s="16" t="s">
        <v>277</v>
      </c>
      <c r="J215" s="18">
        <v>46093</v>
      </c>
      <c r="K215" s="18">
        <v>46094</v>
      </c>
      <c r="L215" s="19" t="str">
        <f>CONCATENATE(NETWORKDAYS(Consumo_Mensal!$J215, Consumo_Mensal!$K215)-1, " dia")</f>
        <v>1 dia</v>
      </c>
      <c r="M215" s="23">
        <f>IFERROR(Consumo_Mensal!$F215*VLOOKUP(Consumo_Mensal!$E215,TBEstoque[[DESCRIÇÃO]:[VALOR UNIT. (R$)]],7,0), 0)</f>
        <v>61.962000000000003</v>
      </c>
    </row>
    <row r="216" spans="2:13" ht="16.8" hidden="1">
      <c r="B216" s="16" t="str">
        <f>"PED-" &amp; Consumo_Mensal!$H216 &amp; "-" &amp; TEXT(Consumo_Mensal!$J216, "ddmmaa")</f>
        <v>PED-Farmácia Satélite - Unidade 03-120326</v>
      </c>
      <c r="C216" s="15">
        <v>20984</v>
      </c>
      <c r="D216" s="20" t="s">
        <v>125</v>
      </c>
      <c r="E216" s="16" t="s">
        <v>30</v>
      </c>
      <c r="F216" s="16">
        <v>10</v>
      </c>
      <c r="G216" s="16" t="s">
        <v>191</v>
      </c>
      <c r="H216" s="16" t="s">
        <v>257</v>
      </c>
      <c r="I216" s="16" t="s">
        <v>277</v>
      </c>
      <c r="J216" s="18">
        <v>46093</v>
      </c>
      <c r="K216" s="18">
        <v>46094</v>
      </c>
      <c r="L216" s="19" t="str">
        <f>CONCATENATE(NETWORKDAYS(Consumo_Mensal!$J216, Consumo_Mensal!$K216)-1, " dia")</f>
        <v>1 dia</v>
      </c>
      <c r="M216" s="23">
        <f>IFERROR(Consumo_Mensal!$F216*VLOOKUP(Consumo_Mensal!$E216,TBEstoque[[DESCRIÇÃO]:[VALOR UNIT. (R$)]],7,0), 0)</f>
        <v>96.944999999999993</v>
      </c>
    </row>
    <row r="217" spans="2:13" ht="16.8" hidden="1">
      <c r="B217" s="20" t="str">
        <f>"PED-" &amp; Consumo_Mensal!$H217 &amp; "-" &amp; TEXT(Consumo_Mensal!$J217, "ddmmaa")</f>
        <v>PED-Escritório Apoio - Gestão-130326</v>
      </c>
      <c r="C217" s="15">
        <v>20896</v>
      </c>
      <c r="D217" s="20" t="s">
        <v>125</v>
      </c>
      <c r="E217" s="20" t="s">
        <v>29</v>
      </c>
      <c r="F217" s="20">
        <v>2</v>
      </c>
      <c r="G217" s="16" t="s">
        <v>183</v>
      </c>
      <c r="H217" s="16" t="s">
        <v>261</v>
      </c>
      <c r="I217" s="16" t="s">
        <v>272</v>
      </c>
      <c r="J217" s="21">
        <v>46094</v>
      </c>
      <c r="K217" s="21">
        <v>46097</v>
      </c>
      <c r="L217" s="19" t="str">
        <f>CONCATENATE(NETWORKDAYS(Consumo_Mensal!$J217, Consumo_Mensal!$K217)-1, " dia")</f>
        <v>1 dia</v>
      </c>
      <c r="M217" s="23">
        <f>IFERROR(Consumo_Mensal!$F217*VLOOKUP(Consumo_Mensal!$E217,TBEstoque[[DESCRIÇÃO]:[VALOR UNIT. (R$)]],7,0), 0)</f>
        <v>66.699999999999989</v>
      </c>
    </row>
    <row r="218" spans="2:13" ht="16.8" hidden="1">
      <c r="B218" s="16" t="str">
        <f>"PED-" &amp; Consumo_Mensal!$H218 &amp; "-" &amp; TEXT(Consumo_Mensal!$J218, "ddmmaa")</f>
        <v>PED-Farmácia Principal - Unidade 01-100226</v>
      </c>
      <c r="C218" s="15">
        <v>20811</v>
      </c>
      <c r="D218" s="16" t="s">
        <v>126</v>
      </c>
      <c r="E218" s="16" t="s">
        <v>25</v>
      </c>
      <c r="F218" s="16">
        <v>12</v>
      </c>
      <c r="G218" s="16" t="s">
        <v>191</v>
      </c>
      <c r="H218" s="16" t="s">
        <v>263</v>
      </c>
      <c r="I218" s="16" t="s">
        <v>281</v>
      </c>
      <c r="J218" s="18">
        <v>46063</v>
      </c>
      <c r="K218" s="18">
        <v>46064</v>
      </c>
      <c r="L218" s="19" t="str">
        <f>CONCATENATE(NETWORKDAYS(Consumo_Mensal!$J218, Consumo_Mensal!$K218)-1, " dia")</f>
        <v>1 dia</v>
      </c>
      <c r="M218" s="23">
        <f>IFERROR(Consumo_Mensal!$F218*VLOOKUP(Consumo_Mensal!$E218,TBEstoque[[DESCRIÇÃO]:[VALOR UNIT. (R$)]],7,0), 0)</f>
        <v>171.80999999999997</v>
      </c>
    </row>
    <row r="219" spans="2:13" ht="16.8" hidden="1">
      <c r="B219" s="16" t="str">
        <f>"PED-" &amp; Consumo_Mensal!$H219 &amp; "-" &amp; TEXT(Consumo_Mensal!$J219, "ddmmaa")</f>
        <v>PED-Farmácia Principal - Unidade 01-100226</v>
      </c>
      <c r="C219" s="15">
        <v>20810</v>
      </c>
      <c r="D219" s="16" t="s">
        <v>126</v>
      </c>
      <c r="E219" s="16" t="s">
        <v>26</v>
      </c>
      <c r="F219" s="16">
        <v>5</v>
      </c>
      <c r="G219" s="16" t="s">
        <v>191</v>
      </c>
      <c r="H219" s="16" t="s">
        <v>263</v>
      </c>
      <c r="I219" s="16" t="s">
        <v>281</v>
      </c>
      <c r="J219" s="18">
        <v>46063</v>
      </c>
      <c r="K219" s="18">
        <v>46064</v>
      </c>
      <c r="L219" s="19" t="str">
        <f>CONCATENATE(NETWORKDAYS(Consumo_Mensal!$J219, Consumo_Mensal!$K219)-1, " dia")</f>
        <v>1 dia</v>
      </c>
      <c r="M219" s="23">
        <f>IFERROR(Consumo_Mensal!$F219*VLOOKUP(Consumo_Mensal!$E219,TBEstoque[[DESCRIÇÃO]:[VALOR UNIT. (R$)]],7,0), 0)</f>
        <v>143.17499999999998</v>
      </c>
    </row>
    <row r="220" spans="2:13" ht="16.8">
      <c r="B220" s="16" t="str">
        <f>"PED-" &amp; Consumo_Mensal!$H220 &amp; "-" &amp; TEXT(Consumo_Mensal!$J220, "ddmmaa")</f>
        <v>PED-Planta Industrial - Suprimentos-100226</v>
      </c>
      <c r="C220" s="15">
        <v>20810</v>
      </c>
      <c r="D220" s="16" t="s">
        <v>126</v>
      </c>
      <c r="E220" s="16" t="s">
        <v>26</v>
      </c>
      <c r="F220" s="16">
        <v>20</v>
      </c>
      <c r="G220" s="16" t="s">
        <v>191</v>
      </c>
      <c r="H220" s="16" t="s">
        <v>258</v>
      </c>
      <c r="I220" s="16" t="s">
        <v>280</v>
      </c>
      <c r="J220" s="18">
        <v>46063</v>
      </c>
      <c r="K220" s="18">
        <v>46064</v>
      </c>
      <c r="L220" s="19" t="str">
        <f>CONCATENATE(NETWORKDAYS(Consumo_Mensal!$J220, Consumo_Mensal!$K220)-1, " dia")</f>
        <v>1 dia</v>
      </c>
      <c r="M220" s="23">
        <f>IFERROR(Consumo_Mensal!$F220*VLOOKUP(Consumo_Mensal!$E220,TBEstoque[[DESCRIÇÃO]:[VALOR UNIT. (R$)]],7,0), 0)</f>
        <v>572.69999999999993</v>
      </c>
    </row>
    <row r="221" spans="2:13" ht="16.8" hidden="1">
      <c r="B221" s="16" t="str">
        <f>"PED-" &amp; Consumo_Mensal!$H221 &amp; "-" &amp; TEXT(Consumo_Mensal!$J221, "ddmmaa")</f>
        <v>PED-Farmácia Satélite - Unidade 05-100226</v>
      </c>
      <c r="C221" s="15">
        <v>20811</v>
      </c>
      <c r="D221" s="16" t="s">
        <v>126</v>
      </c>
      <c r="E221" s="16" t="s">
        <v>25</v>
      </c>
      <c r="F221" s="16">
        <v>10</v>
      </c>
      <c r="G221" s="16" t="s">
        <v>191</v>
      </c>
      <c r="H221" s="16" t="s">
        <v>262</v>
      </c>
      <c r="I221" s="16" t="s">
        <v>276</v>
      </c>
      <c r="J221" s="18">
        <v>46063</v>
      </c>
      <c r="K221" s="18">
        <v>46064</v>
      </c>
      <c r="L221" s="19" t="str">
        <f>CONCATENATE(NETWORKDAYS(Consumo_Mensal!$J221, Consumo_Mensal!$K221)-1, " dia")</f>
        <v>1 dia</v>
      </c>
      <c r="M221" s="23">
        <f>IFERROR(Consumo_Mensal!$F221*VLOOKUP(Consumo_Mensal!$E221,TBEstoque[[DESCRIÇÃO]:[VALOR UNIT. (R$)]],7,0), 0)</f>
        <v>143.17499999999998</v>
      </c>
    </row>
    <row r="222" spans="2:13" ht="16.8" hidden="1">
      <c r="B222" s="16" t="str">
        <f>"PED-" &amp; Consumo_Mensal!$H222 &amp; "-" &amp; TEXT(Consumo_Mensal!$J222, "ddmmaa")</f>
        <v>PED-Farmácia Satélite - Unidade 03-180226</v>
      </c>
      <c r="C222" s="15">
        <v>20810</v>
      </c>
      <c r="D222" s="16" t="s">
        <v>126</v>
      </c>
      <c r="E222" s="16" t="s">
        <v>26</v>
      </c>
      <c r="F222" s="16">
        <v>10</v>
      </c>
      <c r="G222" s="16" t="s">
        <v>191</v>
      </c>
      <c r="H222" s="16" t="s">
        <v>257</v>
      </c>
      <c r="I222" s="16" t="s">
        <v>277</v>
      </c>
      <c r="J222" s="18">
        <v>46071</v>
      </c>
      <c r="K222" s="18">
        <v>46072</v>
      </c>
      <c r="L222" s="19" t="str">
        <f>CONCATENATE(NETWORKDAYS(Consumo_Mensal!$J222, Consumo_Mensal!$K222)-1, " dia")</f>
        <v>1 dia</v>
      </c>
      <c r="M222" s="23">
        <f>IFERROR(Consumo_Mensal!$F222*VLOOKUP(Consumo_Mensal!$E222,TBEstoque[[DESCRIÇÃO]:[VALOR UNIT. (R$)]],7,0), 0)</f>
        <v>286.34999999999997</v>
      </c>
    </row>
    <row r="223" spans="2:13" ht="16.8" hidden="1">
      <c r="B223" s="16" t="str">
        <f>"PED-" &amp; Consumo_Mensal!$H223 &amp; "-" &amp; TEXT(Consumo_Mensal!$J223, "ddmmaa")</f>
        <v>PED-Farmácia Satélite - Unidade 03-180226</v>
      </c>
      <c r="C223" s="15">
        <v>20811</v>
      </c>
      <c r="D223" s="16" t="s">
        <v>126</v>
      </c>
      <c r="E223" s="16" t="s">
        <v>25</v>
      </c>
      <c r="F223" s="16">
        <v>10</v>
      </c>
      <c r="G223" s="16" t="s">
        <v>191</v>
      </c>
      <c r="H223" s="16" t="s">
        <v>257</v>
      </c>
      <c r="I223" s="16" t="s">
        <v>277</v>
      </c>
      <c r="J223" s="18">
        <v>46071</v>
      </c>
      <c r="K223" s="18">
        <v>46072</v>
      </c>
      <c r="L223" s="19" t="str">
        <f>CONCATENATE(NETWORKDAYS(Consumo_Mensal!$J223, Consumo_Mensal!$K223)-1, " dia")</f>
        <v>1 dia</v>
      </c>
      <c r="M223" s="23">
        <f>IFERROR(Consumo_Mensal!$F223*VLOOKUP(Consumo_Mensal!$E223,TBEstoque[[DESCRIÇÃO]:[VALOR UNIT. (R$)]],7,0), 0)</f>
        <v>143.17499999999998</v>
      </c>
    </row>
    <row r="224" spans="2:13" ht="16.8" hidden="1">
      <c r="B224" s="20" t="str">
        <f>"PED-" &amp; Consumo_Mensal!$H224 &amp; "-" &amp; TEXT(Consumo_Mensal!$J224, "ddmmaa")</f>
        <v>PED-Farmácia Satélite - Unidade 02-180226</v>
      </c>
      <c r="C224" s="15">
        <v>20811</v>
      </c>
      <c r="D224" s="16" t="s">
        <v>126</v>
      </c>
      <c r="E224" s="20" t="s">
        <v>25</v>
      </c>
      <c r="F224" s="20">
        <v>5</v>
      </c>
      <c r="G224" s="16" t="s">
        <v>191</v>
      </c>
      <c r="H224" s="16" t="s">
        <v>256</v>
      </c>
      <c r="I224" s="16" t="s">
        <v>267</v>
      </c>
      <c r="J224" s="21">
        <v>46071</v>
      </c>
      <c r="K224" s="18">
        <v>46072</v>
      </c>
      <c r="L224" s="19" t="str">
        <f>CONCATENATE(NETWORKDAYS(Consumo_Mensal!$J224, Consumo_Mensal!$K224)-1, " dia")</f>
        <v>1 dia</v>
      </c>
      <c r="M224" s="23">
        <f>IFERROR(Consumo_Mensal!$F224*VLOOKUP(Consumo_Mensal!$E224,TBEstoque[[DESCRIÇÃO]:[VALOR UNIT. (R$)]],7,0), 0)</f>
        <v>71.587499999999991</v>
      </c>
    </row>
    <row r="225" spans="2:13" ht="16.8" hidden="1">
      <c r="B225" s="20" t="str">
        <f>"PED-" &amp; Consumo_Mensal!$H225 &amp; "-" &amp; TEXT(Consumo_Mensal!$J225, "ddmmaa")</f>
        <v>PED-Farmácia Satélite - Unidade 02-180226</v>
      </c>
      <c r="C225" s="15">
        <v>20810</v>
      </c>
      <c r="D225" s="16" t="s">
        <v>126</v>
      </c>
      <c r="E225" s="20" t="s">
        <v>26</v>
      </c>
      <c r="F225" s="20">
        <v>5</v>
      </c>
      <c r="G225" s="16" t="s">
        <v>191</v>
      </c>
      <c r="H225" s="16" t="s">
        <v>256</v>
      </c>
      <c r="I225" s="16" t="s">
        <v>267</v>
      </c>
      <c r="J225" s="21">
        <v>46071</v>
      </c>
      <c r="K225" s="18">
        <v>46072</v>
      </c>
      <c r="L225" s="19" t="str">
        <f>CONCATENATE(NETWORKDAYS(Consumo_Mensal!$J225, Consumo_Mensal!$K225)-1, " dia")</f>
        <v>1 dia</v>
      </c>
      <c r="M225" s="23">
        <f>IFERROR(Consumo_Mensal!$F225*VLOOKUP(Consumo_Mensal!$E225,TBEstoque[[DESCRIÇÃO]:[VALOR UNIT. (R$)]],7,0), 0)</f>
        <v>143.17499999999998</v>
      </c>
    </row>
    <row r="226" spans="2:13" ht="16.8" hidden="1">
      <c r="B226" s="16" t="str">
        <f>"PED-" &amp; Consumo_Mensal!$H226 &amp; "-" &amp; TEXT(Consumo_Mensal!$J226, "ddmmaa")</f>
        <v>PED-Farmácia Principal - Unidade 01-230226</v>
      </c>
      <c r="C226" s="15">
        <v>20810</v>
      </c>
      <c r="D226" s="16" t="s">
        <v>126</v>
      </c>
      <c r="E226" s="16" t="s">
        <v>26</v>
      </c>
      <c r="F226" s="16">
        <v>5</v>
      </c>
      <c r="G226" s="16" t="s">
        <v>191</v>
      </c>
      <c r="H226" s="16" t="s">
        <v>263</v>
      </c>
      <c r="I226" s="16" t="s">
        <v>281</v>
      </c>
      <c r="J226" s="18">
        <v>46076</v>
      </c>
      <c r="K226" s="18">
        <v>46076</v>
      </c>
      <c r="L226" s="19" t="str">
        <f>CONCATENATE(NETWORKDAYS(Consumo_Mensal!$J226, Consumo_Mensal!$K226)-1, " dia")</f>
        <v>0 dia</v>
      </c>
      <c r="M226" s="23">
        <f>IFERROR(Consumo_Mensal!$F226*VLOOKUP(Consumo_Mensal!$E226,TBEstoque[[DESCRIÇÃO]:[VALOR UNIT. (R$)]],7,0), 0)</f>
        <v>143.17499999999998</v>
      </c>
    </row>
    <row r="227" spans="2:13" ht="16.8" hidden="1">
      <c r="B227" s="16" t="str">
        <f>"PED-" &amp; Consumo_Mensal!$H227 &amp; "-" &amp; TEXT(Consumo_Mensal!$J227, "ddmmaa")</f>
        <v>PED-Farmácia Principal - Unidade 01-230226</v>
      </c>
      <c r="C227" s="15">
        <v>20811</v>
      </c>
      <c r="D227" s="16" t="s">
        <v>126</v>
      </c>
      <c r="E227" s="16" t="s">
        <v>25</v>
      </c>
      <c r="F227" s="16">
        <v>5</v>
      </c>
      <c r="G227" s="16" t="s">
        <v>191</v>
      </c>
      <c r="H227" s="16" t="s">
        <v>263</v>
      </c>
      <c r="I227" s="16" t="s">
        <v>281</v>
      </c>
      <c r="J227" s="18">
        <v>46076</v>
      </c>
      <c r="K227" s="18">
        <v>46076</v>
      </c>
      <c r="L227" s="19" t="str">
        <f>CONCATENATE(NETWORKDAYS(Consumo_Mensal!$J227, Consumo_Mensal!$K227)-1, " dia")</f>
        <v>0 dia</v>
      </c>
      <c r="M227" s="23">
        <f>IFERROR(Consumo_Mensal!$F227*VLOOKUP(Consumo_Mensal!$E227,TBEstoque[[DESCRIÇÃO]:[VALOR UNIT. (R$)]],7,0), 0)</f>
        <v>71.587499999999991</v>
      </c>
    </row>
    <row r="228" spans="2:13" ht="16.8" hidden="1">
      <c r="B228" s="20" t="str">
        <f>"PED-" &amp; Consumo_Mensal!$H228 &amp; "-" &amp; TEXT(Consumo_Mensal!$J228, "ddmmaa")</f>
        <v>PED-Escritório Central - Sede-230226</v>
      </c>
      <c r="C228" s="15">
        <v>20810</v>
      </c>
      <c r="D228" s="16" t="s">
        <v>126</v>
      </c>
      <c r="E228" s="20" t="s">
        <v>26</v>
      </c>
      <c r="F228" s="20">
        <v>10</v>
      </c>
      <c r="G228" s="16" t="s">
        <v>191</v>
      </c>
      <c r="H228" s="16" t="s">
        <v>260</v>
      </c>
      <c r="I228" s="16" t="s">
        <v>271</v>
      </c>
      <c r="J228" s="21">
        <v>46076</v>
      </c>
      <c r="K228" s="18">
        <v>46076</v>
      </c>
      <c r="L228" s="19" t="str">
        <f>CONCATENATE(NETWORKDAYS(Consumo_Mensal!$J228, Consumo_Mensal!$K228)-1, " dia")</f>
        <v>0 dia</v>
      </c>
      <c r="M228" s="23">
        <f>IFERROR(Consumo_Mensal!$F228*VLOOKUP(Consumo_Mensal!$E228,TBEstoque[[DESCRIÇÃO]:[VALOR UNIT. (R$)]],7,0), 0)</f>
        <v>286.34999999999997</v>
      </c>
    </row>
    <row r="229" spans="2:13" ht="16.8">
      <c r="B229" s="16" t="str">
        <f>"PED-" &amp; Consumo_Mensal!$H229 &amp; "-" &amp; TEXT(Consumo_Mensal!$J229, "ddmmaa")</f>
        <v>PED-Planta Industrial - Suprimentos-050326</v>
      </c>
      <c r="C229" s="15">
        <v>20810</v>
      </c>
      <c r="D229" s="16" t="s">
        <v>126</v>
      </c>
      <c r="E229" s="16" t="s">
        <v>26</v>
      </c>
      <c r="F229" s="16">
        <v>10</v>
      </c>
      <c r="G229" s="16" t="s">
        <v>191</v>
      </c>
      <c r="H229" s="16" t="s">
        <v>258</v>
      </c>
      <c r="I229" s="16" t="s">
        <v>280</v>
      </c>
      <c r="J229" s="18">
        <v>46086</v>
      </c>
      <c r="K229" s="18">
        <v>46087</v>
      </c>
      <c r="L229" s="19" t="str">
        <f>CONCATENATE(NETWORKDAYS(Consumo_Mensal!$J229, Consumo_Mensal!$K229)-1, " dia")</f>
        <v>1 dia</v>
      </c>
      <c r="M229" s="23">
        <f>IFERROR(Consumo_Mensal!$F229*VLOOKUP(Consumo_Mensal!$E229,TBEstoque[[DESCRIÇÃO]:[VALOR UNIT. (R$)]],7,0), 0)</f>
        <v>286.34999999999997</v>
      </c>
    </row>
    <row r="230" spans="2:13" ht="16.8" hidden="1">
      <c r="B230" s="16" t="str">
        <f>"PED-" &amp; Consumo_Mensal!$H230 &amp; "-" &amp; TEXT(Consumo_Mensal!$J230, "ddmmaa")</f>
        <v>PED-Farmácia Principal - Unidade 01-090326</v>
      </c>
      <c r="C230" s="15">
        <v>20811</v>
      </c>
      <c r="D230" s="16" t="s">
        <v>126</v>
      </c>
      <c r="E230" s="16" t="s">
        <v>25</v>
      </c>
      <c r="F230" s="16">
        <v>10</v>
      </c>
      <c r="G230" s="16" t="s">
        <v>191</v>
      </c>
      <c r="H230" s="16" t="s">
        <v>263</v>
      </c>
      <c r="I230" s="16" t="s">
        <v>281</v>
      </c>
      <c r="J230" s="18">
        <v>46090</v>
      </c>
      <c r="K230" s="18">
        <v>46090</v>
      </c>
      <c r="L230" s="19" t="str">
        <f>CONCATENATE(NETWORKDAYS(Consumo_Mensal!$J230, Consumo_Mensal!$K230)-1, " dia")</f>
        <v>0 dia</v>
      </c>
      <c r="M230" s="23">
        <f>IFERROR(Consumo_Mensal!$F230*VLOOKUP(Consumo_Mensal!$E230,TBEstoque[[DESCRIÇÃO]:[VALOR UNIT. (R$)]],7,0), 0)</f>
        <v>143.17499999999998</v>
      </c>
    </row>
    <row r="231" spans="2:13" ht="16.8" hidden="1">
      <c r="B231" s="16" t="str">
        <f>"PED-" &amp; Consumo_Mensal!$H231 &amp; "-" &amp; TEXT(Consumo_Mensal!$J231, "ddmmaa")</f>
        <v>PED-Farmácia Satélite - Unidade 05-100326</v>
      </c>
      <c r="C231" s="15">
        <v>20810</v>
      </c>
      <c r="D231" s="16" t="s">
        <v>126</v>
      </c>
      <c r="E231" s="16" t="s">
        <v>26</v>
      </c>
      <c r="F231" s="16">
        <v>10</v>
      </c>
      <c r="G231" s="16" t="s">
        <v>191</v>
      </c>
      <c r="H231" s="16" t="s">
        <v>262</v>
      </c>
      <c r="I231" s="16" t="s">
        <v>276</v>
      </c>
      <c r="J231" s="18">
        <v>46091</v>
      </c>
      <c r="K231" s="18">
        <v>46092</v>
      </c>
      <c r="L231" s="19" t="str">
        <f>CONCATENATE(NETWORKDAYS(Consumo_Mensal!$J231, Consumo_Mensal!$K231)-1, " dia")</f>
        <v>1 dia</v>
      </c>
      <c r="M231" s="23">
        <f>IFERROR(Consumo_Mensal!$F231*VLOOKUP(Consumo_Mensal!$E231,TBEstoque[[DESCRIÇÃO]:[VALOR UNIT. (R$)]],7,0), 0)</f>
        <v>286.34999999999997</v>
      </c>
    </row>
    <row r="232" spans="2:13" ht="16.8" hidden="1">
      <c r="B232" s="20" t="str">
        <f>"PED-" &amp; Consumo_Mensal!$H232 &amp; "-" &amp; TEXT(Consumo_Mensal!$J232, "ddmmaa")</f>
        <v>PED-Farmácia Satélite - Unidade 05-100326</v>
      </c>
      <c r="C232" s="15">
        <v>20810</v>
      </c>
      <c r="D232" s="16" t="s">
        <v>126</v>
      </c>
      <c r="E232" s="20" t="s">
        <v>26</v>
      </c>
      <c r="F232" s="20">
        <v>10</v>
      </c>
      <c r="G232" s="16" t="s">
        <v>191</v>
      </c>
      <c r="H232" s="16" t="s">
        <v>262</v>
      </c>
      <c r="I232" s="16" t="s">
        <v>276</v>
      </c>
      <c r="J232" s="21">
        <v>46091</v>
      </c>
      <c r="K232" s="18">
        <v>46092</v>
      </c>
      <c r="L232" s="19" t="str">
        <f>CONCATENATE(NETWORKDAYS(Consumo_Mensal!$J232, Consumo_Mensal!$K232)-1, " dia")</f>
        <v>1 dia</v>
      </c>
      <c r="M232" s="23">
        <f>IFERROR(Consumo_Mensal!$F232*VLOOKUP(Consumo_Mensal!$E232,TBEstoque[[DESCRIÇÃO]:[VALOR UNIT. (R$)]],7,0), 0)</f>
        <v>286.34999999999997</v>
      </c>
    </row>
    <row r="233" spans="2:13" ht="16.8" hidden="1">
      <c r="B233" s="16" t="str">
        <f>"PED-" &amp; Consumo_Mensal!$H233 &amp; "-" &amp; TEXT(Consumo_Mensal!$J233, "ddmmaa")</f>
        <v>PED-Farmácia Satélite - Unidade 03-110326</v>
      </c>
      <c r="C233" s="15">
        <v>20811</v>
      </c>
      <c r="D233" s="16" t="s">
        <v>126</v>
      </c>
      <c r="E233" s="16" t="s">
        <v>25</v>
      </c>
      <c r="F233" s="16">
        <v>5</v>
      </c>
      <c r="G233" s="16" t="s">
        <v>191</v>
      </c>
      <c r="H233" s="16" t="s">
        <v>257</v>
      </c>
      <c r="I233" s="16" t="s">
        <v>277</v>
      </c>
      <c r="J233" s="18">
        <v>46092</v>
      </c>
      <c r="K233" s="18">
        <v>46093</v>
      </c>
      <c r="L233" s="19" t="str">
        <f>CONCATENATE(NETWORKDAYS(Consumo_Mensal!$J233, Consumo_Mensal!$K233)-1, " dia")</f>
        <v>1 dia</v>
      </c>
      <c r="M233" s="23">
        <f>IFERROR(Consumo_Mensal!$F233*VLOOKUP(Consumo_Mensal!$E233,TBEstoque[[DESCRIÇÃO]:[VALOR UNIT. (R$)]],7,0), 0)</f>
        <v>71.587499999999991</v>
      </c>
    </row>
    <row r="234" spans="2:13" ht="16.8" hidden="1">
      <c r="B234" s="16" t="str">
        <f>"PED-" &amp; Consumo_Mensal!$H234 &amp; "-" &amp; TEXT(Consumo_Mensal!$J234, "ddmmaa")</f>
        <v>PED-CD Logística - Regional ABC-090226</v>
      </c>
      <c r="C234" s="15">
        <v>20813</v>
      </c>
      <c r="D234" s="16" t="s">
        <v>2</v>
      </c>
      <c r="E234" s="16" t="s">
        <v>3</v>
      </c>
      <c r="F234" s="16">
        <v>1</v>
      </c>
      <c r="G234" s="16" t="s">
        <v>183</v>
      </c>
      <c r="H234" s="16" t="s">
        <v>255</v>
      </c>
      <c r="I234" s="16" t="s">
        <v>265</v>
      </c>
      <c r="J234" s="18">
        <v>46062</v>
      </c>
      <c r="K234" s="18">
        <v>46063</v>
      </c>
      <c r="L234" s="19" t="str">
        <f>CONCATENATE(NETWORKDAYS(Consumo_Mensal!$J234, Consumo_Mensal!$K234)-1, " dia")</f>
        <v>1 dia</v>
      </c>
      <c r="M234" s="23">
        <f>IFERROR(Consumo_Mensal!$F234*VLOOKUP(Consumo_Mensal!$E234,TBEstoque[[DESCRIÇÃO]:[VALOR UNIT. (R$)]],7,0), 0)</f>
        <v>136.5395</v>
      </c>
    </row>
    <row r="235" spans="2:13" ht="16.8" hidden="1">
      <c r="B235" s="16" t="str">
        <f>"PED-" &amp; Consumo_Mensal!$H235 &amp; "-" &amp; TEXT(Consumo_Mensal!$J235, "ddmmaa")</f>
        <v>PED-CD Logística - Regional ABC-090226</v>
      </c>
      <c r="C235" s="15">
        <v>20847</v>
      </c>
      <c r="D235" s="16" t="s">
        <v>2</v>
      </c>
      <c r="E235" s="16" t="s">
        <v>6</v>
      </c>
      <c r="F235" s="16">
        <v>1</v>
      </c>
      <c r="G235" s="16" t="s">
        <v>184</v>
      </c>
      <c r="H235" s="16" t="s">
        <v>255</v>
      </c>
      <c r="I235" s="16" t="s">
        <v>265</v>
      </c>
      <c r="J235" s="18">
        <v>46062</v>
      </c>
      <c r="K235" s="18">
        <v>46063</v>
      </c>
      <c r="L235" s="19" t="str">
        <f>CONCATENATE(NETWORKDAYS(Consumo_Mensal!$J235, Consumo_Mensal!$K235)-1, " dia")</f>
        <v>1 dia</v>
      </c>
      <c r="M235" s="23">
        <f>IFERROR(Consumo_Mensal!$F235*VLOOKUP(Consumo_Mensal!$E235,TBEstoque[[DESCRIÇÃO]:[VALOR UNIT. (R$)]],7,0), 0)</f>
        <v>24.84</v>
      </c>
    </row>
    <row r="236" spans="2:13" ht="16.8" hidden="1">
      <c r="B236" s="16" t="str">
        <f>"PED-" &amp; Consumo_Mensal!$H236 &amp; "-" &amp; TEXT(Consumo_Mensal!$J236, "ddmmaa")</f>
        <v>PED-CD Logística - Regional ABC-090226</v>
      </c>
      <c r="C236" s="15">
        <v>20848</v>
      </c>
      <c r="D236" s="16" t="s">
        <v>2</v>
      </c>
      <c r="E236" s="16" t="s">
        <v>7</v>
      </c>
      <c r="F236" s="16">
        <v>1</v>
      </c>
      <c r="G236" s="16" t="s">
        <v>184</v>
      </c>
      <c r="H236" s="16" t="s">
        <v>255</v>
      </c>
      <c r="I236" s="16" t="s">
        <v>265</v>
      </c>
      <c r="J236" s="18">
        <v>46062</v>
      </c>
      <c r="K236" s="18">
        <v>46063</v>
      </c>
      <c r="L236" s="19" t="str">
        <f>CONCATENATE(NETWORKDAYS(Consumo_Mensal!$J236, Consumo_Mensal!$K236)-1, " dia")</f>
        <v>1 dia</v>
      </c>
      <c r="M236" s="23">
        <f>IFERROR(Consumo_Mensal!$F236*VLOOKUP(Consumo_Mensal!$E236,TBEstoque[[DESCRIÇÃO]:[VALOR UNIT. (R$)]],7,0), 0)</f>
        <v>48.93249999999999</v>
      </c>
    </row>
    <row r="237" spans="2:13" ht="16.8" hidden="1">
      <c r="B237" s="16" t="str">
        <f>"PED-" &amp; Consumo_Mensal!$H237 &amp; "-" &amp; TEXT(Consumo_Mensal!$J237, "ddmmaa")</f>
        <v>PED-CD Logística - Regional ABC-090226</v>
      </c>
      <c r="C237" s="15">
        <v>20872</v>
      </c>
      <c r="D237" s="16" t="s">
        <v>2</v>
      </c>
      <c r="E237" s="16" t="s">
        <v>12</v>
      </c>
      <c r="F237" s="16">
        <v>2</v>
      </c>
      <c r="G237" s="16" t="s">
        <v>191</v>
      </c>
      <c r="H237" s="16" t="s">
        <v>255</v>
      </c>
      <c r="I237" s="16" t="s">
        <v>265</v>
      </c>
      <c r="J237" s="18">
        <v>46062</v>
      </c>
      <c r="K237" s="18">
        <v>46063</v>
      </c>
      <c r="L237" s="19" t="str">
        <f>CONCATENATE(NETWORKDAYS(Consumo_Mensal!$J237, Consumo_Mensal!$K237)-1, " dia")</f>
        <v>1 dia</v>
      </c>
      <c r="M237" s="23">
        <f>IFERROR(Consumo_Mensal!$F237*VLOOKUP(Consumo_Mensal!$E237,TBEstoque[[DESCRIÇÃO]:[VALOR UNIT. (R$)]],7,0), 0)</f>
        <v>195.49999999999997</v>
      </c>
    </row>
    <row r="238" spans="2:13" ht="16.8" hidden="1">
      <c r="B238" s="16" t="str">
        <f>"PED-" &amp; Consumo_Mensal!$H238 &amp; "-" &amp; TEXT(Consumo_Mensal!$J238, "ddmmaa")</f>
        <v>PED-CD Logística - Regional ABC-090226</v>
      </c>
      <c r="C238" s="15">
        <v>20851</v>
      </c>
      <c r="D238" s="16" t="s">
        <v>2</v>
      </c>
      <c r="E238" s="16" t="s">
        <v>13</v>
      </c>
      <c r="F238" s="16">
        <v>4</v>
      </c>
      <c r="G238" s="20" t="s">
        <v>186</v>
      </c>
      <c r="H238" s="16" t="s">
        <v>255</v>
      </c>
      <c r="I238" s="16" t="s">
        <v>265</v>
      </c>
      <c r="J238" s="18">
        <v>46062</v>
      </c>
      <c r="K238" s="18">
        <v>46063</v>
      </c>
      <c r="L238" s="19" t="str">
        <f>CONCATENATE(NETWORKDAYS(Consumo_Mensal!$J238, Consumo_Mensal!$K238)-1, " dia")</f>
        <v>1 dia</v>
      </c>
      <c r="M238" s="23">
        <f>IFERROR(Consumo_Mensal!$F238*VLOOKUP(Consumo_Mensal!$E238,TBEstoque[[DESCRIÇÃO]:[VALOR UNIT. (R$)]],7,0), 0)</f>
        <v>7.8199999999999994</v>
      </c>
    </row>
    <row r="239" spans="2:13" ht="16.8" hidden="1">
      <c r="B239" s="16" t="str">
        <f>"PED-" &amp; Consumo_Mensal!$H239 &amp; "-" &amp; TEXT(Consumo_Mensal!$J239, "ddmmaa")</f>
        <v>PED-Farmácia Principal - Unidade 01-090226</v>
      </c>
      <c r="C239" s="15">
        <v>20851</v>
      </c>
      <c r="D239" s="16" t="s">
        <v>2</v>
      </c>
      <c r="E239" s="16" t="s">
        <v>13</v>
      </c>
      <c r="F239" s="16">
        <v>3</v>
      </c>
      <c r="G239" s="20" t="s">
        <v>186</v>
      </c>
      <c r="H239" s="16" t="s">
        <v>263</v>
      </c>
      <c r="I239" s="16" t="s">
        <v>266</v>
      </c>
      <c r="J239" s="18">
        <v>46062</v>
      </c>
      <c r="K239" s="18">
        <v>46063</v>
      </c>
      <c r="L239" s="19" t="str">
        <f>CONCATENATE(NETWORKDAYS(Consumo_Mensal!$J239, Consumo_Mensal!$K239)-1, " dia")</f>
        <v>1 dia</v>
      </c>
      <c r="M239" s="23">
        <f>IFERROR(Consumo_Mensal!$F239*VLOOKUP(Consumo_Mensal!$E239,TBEstoque[[DESCRIÇÃO]:[VALOR UNIT. (R$)]],7,0), 0)</f>
        <v>5.8649999999999993</v>
      </c>
    </row>
    <row r="240" spans="2:13" ht="16.8" hidden="1">
      <c r="B240" s="16" t="str">
        <f>"PED-" &amp; Consumo_Mensal!$H240 &amp; "-" &amp; TEXT(Consumo_Mensal!$J240, "ddmmaa")</f>
        <v>PED-Farmácia Principal - Unidade 01-090226</v>
      </c>
      <c r="C240" s="15">
        <v>20812</v>
      </c>
      <c r="D240" s="16" t="s">
        <v>2</v>
      </c>
      <c r="E240" s="16" t="s">
        <v>17</v>
      </c>
      <c r="F240" s="16">
        <v>1</v>
      </c>
      <c r="G240" s="16" t="s">
        <v>183</v>
      </c>
      <c r="H240" s="16" t="s">
        <v>263</v>
      </c>
      <c r="I240" s="16" t="s">
        <v>266</v>
      </c>
      <c r="J240" s="18">
        <v>46062</v>
      </c>
      <c r="K240" s="18">
        <v>46063</v>
      </c>
      <c r="L240" s="19" t="str">
        <f>CONCATENATE(NETWORKDAYS(Consumo_Mensal!$J240, Consumo_Mensal!$K240)-1, " dia")</f>
        <v>1 dia</v>
      </c>
      <c r="M240" s="23">
        <f>IFERROR(Consumo_Mensal!$F240*VLOOKUP(Consumo_Mensal!$E240,TBEstoque[[DESCRIÇÃO]:[VALOR UNIT. (R$)]],7,0), 0)</f>
        <v>150.29349999999999</v>
      </c>
    </row>
    <row r="241" spans="2:13" ht="16.8" hidden="1">
      <c r="B241" s="16" t="str">
        <f>"PED-" &amp; Consumo_Mensal!$H241 &amp; "-" &amp; TEXT(Consumo_Mensal!$J241, "ddmmaa")</f>
        <v>PED-Farmácia Principal - Unidade 01-090226</v>
      </c>
      <c r="C241" s="15">
        <v>20813</v>
      </c>
      <c r="D241" s="16" t="s">
        <v>2</v>
      </c>
      <c r="E241" s="16" t="s">
        <v>3</v>
      </c>
      <c r="F241" s="16">
        <v>1</v>
      </c>
      <c r="G241" s="16" t="s">
        <v>183</v>
      </c>
      <c r="H241" s="16" t="s">
        <v>263</v>
      </c>
      <c r="I241" s="16" t="s">
        <v>266</v>
      </c>
      <c r="J241" s="18">
        <v>46062</v>
      </c>
      <c r="K241" s="18">
        <v>46063</v>
      </c>
      <c r="L241" s="19" t="str">
        <f>CONCATENATE(NETWORKDAYS(Consumo_Mensal!$J241, Consumo_Mensal!$K241)-1, " dia")</f>
        <v>1 dia</v>
      </c>
      <c r="M241" s="23">
        <f>IFERROR(Consumo_Mensal!$F241*VLOOKUP(Consumo_Mensal!$E241,TBEstoque[[DESCRIÇÃO]:[VALOR UNIT. (R$)]],7,0), 0)</f>
        <v>136.5395</v>
      </c>
    </row>
    <row r="242" spans="2:13" ht="16.8" hidden="1">
      <c r="B242" s="16" t="str">
        <f>"PED-" &amp; Consumo_Mensal!$H242 &amp; "-" &amp; TEXT(Consumo_Mensal!$J242, "ddmmaa")</f>
        <v>PED-Farmácia Principal - Unidade 01-090226</v>
      </c>
      <c r="C242" s="15">
        <v>20866</v>
      </c>
      <c r="D242" s="16" t="s">
        <v>2</v>
      </c>
      <c r="E242" s="16" t="s">
        <v>18</v>
      </c>
      <c r="F242" s="16">
        <v>3</v>
      </c>
      <c r="G242" s="16" t="s">
        <v>183</v>
      </c>
      <c r="H242" s="16" t="s">
        <v>263</v>
      </c>
      <c r="I242" s="16" t="s">
        <v>266</v>
      </c>
      <c r="J242" s="18">
        <v>46062</v>
      </c>
      <c r="K242" s="18">
        <v>46063</v>
      </c>
      <c r="L242" s="19" t="str">
        <f>CONCATENATE(NETWORKDAYS(Consumo_Mensal!$J242, Consumo_Mensal!$K242)-1, " dia")</f>
        <v>1 dia</v>
      </c>
      <c r="M242" s="23">
        <f>IFERROR(Consumo_Mensal!$F242*VLOOKUP(Consumo_Mensal!$E242,TBEstoque[[DESCRIÇÃO]:[VALOR UNIT. (R$)]],7,0), 0)</f>
        <v>174.98399999999998</v>
      </c>
    </row>
    <row r="243" spans="2:13" ht="16.8" hidden="1">
      <c r="B243" s="16" t="str">
        <f>"PED-" &amp; Consumo_Mensal!$H243 &amp; "-" &amp; TEXT(Consumo_Mensal!$J243, "ddmmaa")</f>
        <v>PED-Farmácia Principal - Unidade 01-090226</v>
      </c>
      <c r="C243" s="15">
        <v>20867</v>
      </c>
      <c r="D243" s="16" t="s">
        <v>2</v>
      </c>
      <c r="E243" s="16" t="s">
        <v>19</v>
      </c>
      <c r="F243" s="16">
        <v>9</v>
      </c>
      <c r="G243" s="20" t="s">
        <v>186</v>
      </c>
      <c r="H243" s="16" t="s">
        <v>263</v>
      </c>
      <c r="I243" s="16" t="s">
        <v>266</v>
      </c>
      <c r="J243" s="18">
        <v>46062</v>
      </c>
      <c r="K243" s="18">
        <v>46063</v>
      </c>
      <c r="L243" s="19" t="str">
        <f>CONCATENATE(NETWORKDAYS(Consumo_Mensal!$J243, Consumo_Mensal!$K243)-1, " dia")</f>
        <v>1 dia</v>
      </c>
      <c r="M243" s="23">
        <f>IFERROR(Consumo_Mensal!$F243*VLOOKUP(Consumo_Mensal!$E243,TBEstoque[[DESCRIÇÃO]:[VALOR UNIT. (R$)]],7,0), 0)</f>
        <v>17.180999999999997</v>
      </c>
    </row>
    <row r="244" spans="2:13" ht="16.8" hidden="1">
      <c r="B244" s="16" t="str">
        <f>"PED-" &amp; Consumo_Mensal!$H244 &amp; "-" &amp; TEXT(Consumo_Mensal!$J244, "ddmmaa")</f>
        <v>PED-Farmácia Principal - Unidade 01-090226</v>
      </c>
      <c r="C244" s="15">
        <v>20872</v>
      </c>
      <c r="D244" s="16" t="s">
        <v>2</v>
      </c>
      <c r="E244" s="16" t="s">
        <v>12</v>
      </c>
      <c r="F244" s="16">
        <v>1</v>
      </c>
      <c r="G244" s="16" t="s">
        <v>191</v>
      </c>
      <c r="H244" s="16" t="s">
        <v>263</v>
      </c>
      <c r="I244" s="16" t="s">
        <v>266</v>
      </c>
      <c r="J244" s="18">
        <v>46062</v>
      </c>
      <c r="K244" s="18">
        <v>46063</v>
      </c>
      <c r="L244" s="19" t="str">
        <f>CONCATENATE(NETWORKDAYS(Consumo_Mensal!$J244, Consumo_Mensal!$K244)-1, " dia")</f>
        <v>1 dia</v>
      </c>
      <c r="M244" s="23">
        <f>IFERROR(Consumo_Mensal!$F244*VLOOKUP(Consumo_Mensal!$E244,TBEstoque[[DESCRIÇÃO]:[VALOR UNIT. (R$)]],7,0), 0)</f>
        <v>97.749999999999986</v>
      </c>
    </row>
    <row r="245" spans="2:13" ht="16.8" hidden="1">
      <c r="B245" s="16" t="str">
        <f>"PED-" &amp; Consumo_Mensal!$H245 &amp; "-" &amp; TEXT(Consumo_Mensal!$J245, "ddmmaa")</f>
        <v>PED-Farmácia Principal - Unidade 01-090226</v>
      </c>
      <c r="C245" s="15">
        <v>20875</v>
      </c>
      <c r="D245" s="16" t="s">
        <v>2</v>
      </c>
      <c r="E245" s="16" t="s">
        <v>20</v>
      </c>
      <c r="F245" s="16">
        <v>1</v>
      </c>
      <c r="G245" s="16" t="s">
        <v>191</v>
      </c>
      <c r="H245" s="16" t="s">
        <v>263</v>
      </c>
      <c r="I245" s="16" t="s">
        <v>266</v>
      </c>
      <c r="J245" s="18">
        <v>46062</v>
      </c>
      <c r="K245" s="18">
        <v>46063</v>
      </c>
      <c r="L245" s="19" t="str">
        <f>CONCATENATE(NETWORKDAYS(Consumo_Mensal!$J245, Consumo_Mensal!$K245)-1, " dia")</f>
        <v>1 dia</v>
      </c>
      <c r="M245" s="23">
        <f>IFERROR(Consumo_Mensal!$F245*VLOOKUP(Consumo_Mensal!$E245,TBEstoque[[DESCRIÇÃO]:[VALOR UNIT. (R$)]],7,0), 0)</f>
        <v>68.160499999999999</v>
      </c>
    </row>
    <row r="246" spans="2:13" ht="16.8" hidden="1">
      <c r="B246" s="16" t="str">
        <f>"PED-" &amp; Consumo_Mensal!$H246 &amp; "-" &amp; TEXT(Consumo_Mensal!$J246, "ddmmaa")</f>
        <v>PED-Farmácia Principal - Unidade 01-090226</v>
      </c>
      <c r="C246" s="15">
        <v>20880</v>
      </c>
      <c r="D246" s="20" t="s">
        <v>2</v>
      </c>
      <c r="E246" s="20" t="s">
        <v>21</v>
      </c>
      <c r="F246" s="16">
        <v>2</v>
      </c>
      <c r="G246" s="20" t="s">
        <v>186</v>
      </c>
      <c r="H246" s="16" t="s">
        <v>263</v>
      </c>
      <c r="I246" s="16" t="s">
        <v>266</v>
      </c>
      <c r="J246" s="18">
        <v>46062</v>
      </c>
      <c r="K246" s="18">
        <v>46063</v>
      </c>
      <c r="L246" s="19" t="str">
        <f>CONCATENATE(NETWORKDAYS(Consumo_Mensal!$J246, Consumo_Mensal!$K246)-1, " dia")</f>
        <v>1 dia</v>
      </c>
      <c r="M246" s="23">
        <f>IFERROR(Consumo_Mensal!$F246*VLOOKUP(Consumo_Mensal!$E246,TBEstoque[[DESCRIÇÃO]:[VALOR UNIT. (R$)]],7,0), 0)</f>
        <v>18.285</v>
      </c>
    </row>
    <row r="247" spans="2:13" ht="16.8" hidden="1">
      <c r="B247" s="16" t="str">
        <f>"PED-" &amp; Consumo_Mensal!$H247 &amp; "-" &amp; TEXT(Consumo_Mensal!$J247, "ddmmaa")</f>
        <v>PED-Farmácia Satélite - Unidade 02-100226</v>
      </c>
      <c r="C247" s="15">
        <v>20812</v>
      </c>
      <c r="D247" s="16" t="s">
        <v>2</v>
      </c>
      <c r="E247" s="16" t="s">
        <v>17</v>
      </c>
      <c r="F247" s="16">
        <v>2</v>
      </c>
      <c r="G247" s="16" t="s">
        <v>183</v>
      </c>
      <c r="H247" s="16" t="s">
        <v>256</v>
      </c>
      <c r="I247" s="16" t="s">
        <v>267</v>
      </c>
      <c r="J247" s="18">
        <v>46063</v>
      </c>
      <c r="K247" s="18">
        <v>46064</v>
      </c>
      <c r="L247" s="19" t="str">
        <f>CONCATENATE(NETWORKDAYS(Consumo_Mensal!$J247, Consumo_Mensal!$K247)-1, " dia")</f>
        <v>1 dia</v>
      </c>
      <c r="M247" s="23">
        <f>IFERROR(Consumo_Mensal!$F247*VLOOKUP(Consumo_Mensal!$E247,TBEstoque[[DESCRIÇÃO]:[VALOR UNIT. (R$)]],7,0), 0)</f>
        <v>300.58699999999999</v>
      </c>
    </row>
    <row r="248" spans="2:13" ht="16.8" hidden="1">
      <c r="B248" s="16" t="str">
        <f>"PED-" &amp; Consumo_Mensal!$H248 &amp; "-" &amp; TEXT(Consumo_Mensal!$J248, "ddmmaa")</f>
        <v>PED-Farmácia Satélite - Unidade 02-100226</v>
      </c>
      <c r="C248" s="15">
        <v>20866</v>
      </c>
      <c r="D248" s="16" t="s">
        <v>2</v>
      </c>
      <c r="E248" s="16" t="s">
        <v>18</v>
      </c>
      <c r="F248" s="16">
        <v>2</v>
      </c>
      <c r="G248" s="16" t="s">
        <v>183</v>
      </c>
      <c r="H248" s="16" t="s">
        <v>256</v>
      </c>
      <c r="I248" s="16" t="s">
        <v>267</v>
      </c>
      <c r="J248" s="18">
        <v>46063</v>
      </c>
      <c r="K248" s="18">
        <v>46064</v>
      </c>
      <c r="L248" s="19" t="str">
        <f>CONCATENATE(NETWORKDAYS(Consumo_Mensal!$J248, Consumo_Mensal!$K248)-1, " dia")</f>
        <v>1 dia</v>
      </c>
      <c r="M248" s="23">
        <f>IFERROR(Consumo_Mensal!$F248*VLOOKUP(Consumo_Mensal!$E248,TBEstoque[[DESCRIÇÃO]:[VALOR UNIT. (R$)]],7,0), 0)</f>
        <v>116.65599999999999</v>
      </c>
    </row>
    <row r="249" spans="2:13" ht="16.8" hidden="1">
      <c r="B249" s="16" t="str">
        <f>"PED-" &amp; Consumo_Mensal!$H249 &amp; "-" &amp; TEXT(Consumo_Mensal!$J249, "ddmmaa")</f>
        <v>PED-Farmácia Satélite - Unidade 02-100226</v>
      </c>
      <c r="C249" s="15">
        <v>20848</v>
      </c>
      <c r="D249" s="16" t="s">
        <v>2</v>
      </c>
      <c r="E249" s="16" t="s">
        <v>7</v>
      </c>
      <c r="F249" s="16">
        <v>1</v>
      </c>
      <c r="G249" s="16" t="s">
        <v>184</v>
      </c>
      <c r="H249" s="16" t="s">
        <v>256</v>
      </c>
      <c r="I249" s="16" t="s">
        <v>267</v>
      </c>
      <c r="J249" s="18">
        <v>46063</v>
      </c>
      <c r="K249" s="18">
        <v>46064</v>
      </c>
      <c r="L249" s="19" t="str">
        <f>CONCATENATE(NETWORKDAYS(Consumo_Mensal!$J249, Consumo_Mensal!$K249)-1, " dia")</f>
        <v>1 dia</v>
      </c>
      <c r="M249" s="23">
        <f>IFERROR(Consumo_Mensal!$F249*VLOOKUP(Consumo_Mensal!$E249,TBEstoque[[DESCRIÇÃO]:[VALOR UNIT. (R$)]],7,0), 0)</f>
        <v>48.93249999999999</v>
      </c>
    </row>
    <row r="250" spans="2:13" ht="16.8" hidden="1">
      <c r="B250" s="16" t="str">
        <f>"PED-" &amp; Consumo_Mensal!$H250 &amp; "-" &amp; TEXT(Consumo_Mensal!$J250, "ddmmaa")</f>
        <v>PED-Farmácia Satélite - Unidade 02-100226</v>
      </c>
      <c r="C250" s="15">
        <v>20869</v>
      </c>
      <c r="D250" s="16" t="s">
        <v>2</v>
      </c>
      <c r="E250" s="16" t="s">
        <v>38</v>
      </c>
      <c r="F250" s="16">
        <v>1</v>
      </c>
      <c r="G250" s="16" t="s">
        <v>183</v>
      </c>
      <c r="H250" s="16" t="s">
        <v>256</v>
      </c>
      <c r="I250" s="16" t="s">
        <v>267</v>
      </c>
      <c r="J250" s="18">
        <v>46063</v>
      </c>
      <c r="K250" s="18">
        <v>46064</v>
      </c>
      <c r="L250" s="19" t="str">
        <f>CONCATENATE(NETWORKDAYS(Consumo_Mensal!$J250, Consumo_Mensal!$K250)-1, " dia")</f>
        <v>1 dia</v>
      </c>
      <c r="M250" s="23">
        <f>IFERROR(Consumo_Mensal!$F250*VLOOKUP(Consumo_Mensal!$E250,TBEstoque[[DESCRIÇÃO]:[VALOR UNIT. (R$)]],7,0), 0)</f>
        <v>15.352499999999999</v>
      </c>
    </row>
    <row r="251" spans="2:13" ht="16.8" hidden="1">
      <c r="B251" s="16" t="str">
        <f>"PED-" &amp; Consumo_Mensal!$H251 &amp; "-" &amp; TEXT(Consumo_Mensal!$J251, "ddmmaa")</f>
        <v>PED-Farmácia Satélite - Unidade 02-100226</v>
      </c>
      <c r="C251" s="15">
        <v>20868</v>
      </c>
      <c r="D251" s="16" t="s">
        <v>2</v>
      </c>
      <c r="E251" s="16" t="s">
        <v>39</v>
      </c>
      <c r="F251" s="16">
        <v>1</v>
      </c>
      <c r="G251" s="20" t="s">
        <v>186</v>
      </c>
      <c r="H251" s="16" t="s">
        <v>256</v>
      </c>
      <c r="I251" s="16" t="s">
        <v>267</v>
      </c>
      <c r="J251" s="18">
        <v>46063</v>
      </c>
      <c r="K251" s="18">
        <v>46064</v>
      </c>
      <c r="L251" s="19" t="str">
        <f>CONCATENATE(NETWORKDAYS(Consumo_Mensal!$J251, Consumo_Mensal!$K251)-1, " dia")</f>
        <v>1 dia</v>
      </c>
      <c r="M251" s="23">
        <f>IFERROR(Consumo_Mensal!$F251*VLOOKUP(Consumo_Mensal!$E251,TBEstoque[[DESCRIÇÃO]:[VALOR UNIT. (R$)]],7,0), 0)</f>
        <v>7.1185</v>
      </c>
    </row>
    <row r="252" spans="2:13" ht="16.8" hidden="1">
      <c r="B252" s="16" t="str">
        <f>"PED-" &amp; Consumo_Mensal!$H252 &amp; "-" &amp; TEXT(Consumo_Mensal!$J252, "ddmmaa")</f>
        <v>PED-Farmácia Satélite - Unidade 02-100226</v>
      </c>
      <c r="C252" s="15">
        <v>20867</v>
      </c>
      <c r="D252" s="16" t="s">
        <v>2</v>
      </c>
      <c r="E252" s="16" t="s">
        <v>19</v>
      </c>
      <c r="F252" s="16">
        <v>2</v>
      </c>
      <c r="G252" s="20" t="s">
        <v>186</v>
      </c>
      <c r="H252" s="16" t="s">
        <v>256</v>
      </c>
      <c r="I252" s="16" t="s">
        <v>267</v>
      </c>
      <c r="J252" s="18">
        <v>46063</v>
      </c>
      <c r="K252" s="18">
        <v>46064</v>
      </c>
      <c r="L252" s="19" t="str">
        <f>CONCATENATE(NETWORKDAYS(Consumo_Mensal!$J252, Consumo_Mensal!$K252)-1, " dia")</f>
        <v>1 dia</v>
      </c>
      <c r="M252" s="23">
        <f>IFERROR(Consumo_Mensal!$F252*VLOOKUP(Consumo_Mensal!$E252,TBEstoque[[DESCRIÇÃO]:[VALOR UNIT. (R$)]],7,0), 0)</f>
        <v>3.8179999999999996</v>
      </c>
    </row>
    <row r="253" spans="2:13" ht="16.8" hidden="1">
      <c r="B253" s="16" t="str">
        <f>"PED-" &amp; Consumo_Mensal!$H253 &amp; "-" &amp; TEXT(Consumo_Mensal!$J253, "ddmmaa")</f>
        <v>PED-Farmácia Satélite - Unidade 02-100226</v>
      </c>
      <c r="C253" s="15">
        <v>20875</v>
      </c>
      <c r="D253" s="16" t="s">
        <v>2</v>
      </c>
      <c r="E253" s="16" t="s">
        <v>20</v>
      </c>
      <c r="F253" s="16">
        <v>1</v>
      </c>
      <c r="G253" s="16" t="s">
        <v>191</v>
      </c>
      <c r="H253" s="16" t="s">
        <v>256</v>
      </c>
      <c r="I253" s="16" t="s">
        <v>267</v>
      </c>
      <c r="J253" s="18">
        <v>46063</v>
      </c>
      <c r="K253" s="18">
        <v>46064</v>
      </c>
      <c r="L253" s="19" t="str">
        <f>CONCATENATE(NETWORKDAYS(Consumo_Mensal!$J253, Consumo_Mensal!$K253)-1, " dia")</f>
        <v>1 dia</v>
      </c>
      <c r="M253" s="23">
        <f>IFERROR(Consumo_Mensal!$F253*VLOOKUP(Consumo_Mensal!$E253,TBEstoque[[DESCRIÇÃO]:[VALOR UNIT. (R$)]],7,0), 0)</f>
        <v>68.160499999999999</v>
      </c>
    </row>
    <row r="254" spans="2:13" ht="16.8" hidden="1">
      <c r="B254" s="16" t="str">
        <f>"PED-" &amp; Consumo_Mensal!$H254 &amp; "-" &amp; TEXT(Consumo_Mensal!$J254, "ddmmaa")</f>
        <v>PED-Farmácia Satélite - Unidade 02-100226</v>
      </c>
      <c r="C254" s="15">
        <v>20851</v>
      </c>
      <c r="D254" s="16" t="s">
        <v>2</v>
      </c>
      <c r="E254" s="16" t="s">
        <v>13</v>
      </c>
      <c r="F254" s="16">
        <v>4</v>
      </c>
      <c r="G254" s="20" t="s">
        <v>186</v>
      </c>
      <c r="H254" s="16" t="s">
        <v>256</v>
      </c>
      <c r="I254" s="16" t="s">
        <v>267</v>
      </c>
      <c r="J254" s="18">
        <v>46063</v>
      </c>
      <c r="K254" s="18">
        <v>46064</v>
      </c>
      <c r="L254" s="19" t="str">
        <f>CONCATENATE(NETWORKDAYS(Consumo_Mensal!$J254, Consumo_Mensal!$K254)-1, " dia")</f>
        <v>1 dia</v>
      </c>
      <c r="M254" s="23">
        <f>IFERROR(Consumo_Mensal!$F254*VLOOKUP(Consumo_Mensal!$E254,TBEstoque[[DESCRIÇÃO]:[VALOR UNIT. (R$)]],7,0), 0)</f>
        <v>7.8199999999999994</v>
      </c>
    </row>
    <row r="255" spans="2:13" ht="16.8" hidden="1">
      <c r="B255" s="16" t="str">
        <f>"PED-" &amp; Consumo_Mensal!$H255 &amp; "-" &amp; TEXT(Consumo_Mensal!$J255, "ddmmaa")</f>
        <v>PED-Farmácia Satélite - Unidade 03-100226</v>
      </c>
      <c r="C255" s="15">
        <v>20849</v>
      </c>
      <c r="D255" s="16" t="s">
        <v>2</v>
      </c>
      <c r="E255" s="16" t="s">
        <v>40</v>
      </c>
      <c r="F255" s="16">
        <v>1</v>
      </c>
      <c r="G255" s="16" t="s">
        <v>184</v>
      </c>
      <c r="H255" s="16" t="s">
        <v>257</v>
      </c>
      <c r="I255" s="16" t="s">
        <v>268</v>
      </c>
      <c r="J255" s="18">
        <v>46063</v>
      </c>
      <c r="K255" s="18">
        <v>46064</v>
      </c>
      <c r="L255" s="19" t="str">
        <f>CONCATENATE(NETWORKDAYS(Consumo_Mensal!$J255, Consumo_Mensal!$K255)-1, " dia")</f>
        <v>1 dia</v>
      </c>
      <c r="M255" s="23">
        <f>IFERROR(Consumo_Mensal!$F255*VLOOKUP(Consumo_Mensal!$E255,TBEstoque[[DESCRIÇÃO]:[VALOR UNIT. (R$)]],7,0), 0)</f>
        <v>41.652999999999999</v>
      </c>
    </row>
    <row r="256" spans="2:13" ht="16.8" hidden="1">
      <c r="B256" s="16" t="str">
        <f>"PED-" &amp; Consumo_Mensal!$H256 &amp; "-" &amp; TEXT(Consumo_Mensal!$J256, "ddmmaa")</f>
        <v>PED-Farmácia Satélite - Unidade 03-100226</v>
      </c>
      <c r="C256" s="15">
        <v>20866</v>
      </c>
      <c r="D256" s="16" t="s">
        <v>2</v>
      </c>
      <c r="E256" s="16" t="s">
        <v>18</v>
      </c>
      <c r="F256" s="16">
        <v>1</v>
      </c>
      <c r="G256" s="16" t="s">
        <v>183</v>
      </c>
      <c r="H256" s="16" t="s">
        <v>257</v>
      </c>
      <c r="I256" s="16" t="s">
        <v>268</v>
      </c>
      <c r="J256" s="18">
        <v>46063</v>
      </c>
      <c r="K256" s="18">
        <v>46064</v>
      </c>
      <c r="L256" s="19" t="str">
        <f>CONCATENATE(NETWORKDAYS(Consumo_Mensal!$J256, Consumo_Mensal!$K256)-1, " dia")</f>
        <v>1 dia</v>
      </c>
      <c r="M256" s="23">
        <f>IFERROR(Consumo_Mensal!$F256*VLOOKUP(Consumo_Mensal!$E256,TBEstoque[[DESCRIÇÃO]:[VALOR UNIT. (R$)]],7,0), 0)</f>
        <v>58.327999999999996</v>
      </c>
    </row>
    <row r="257" spans="2:13" ht="16.8" hidden="1">
      <c r="B257" s="16" t="str">
        <f>"PED-" &amp; Consumo_Mensal!$H257 &amp; "-" &amp; TEXT(Consumo_Mensal!$J257, "ddmmaa")</f>
        <v>PED-Farmácia Satélite - Unidade 03-100226</v>
      </c>
      <c r="C257" s="15">
        <v>20812</v>
      </c>
      <c r="D257" s="16" t="s">
        <v>2</v>
      </c>
      <c r="E257" s="16" t="s">
        <v>17</v>
      </c>
      <c r="F257" s="16">
        <v>1</v>
      </c>
      <c r="G257" s="16" t="s">
        <v>183</v>
      </c>
      <c r="H257" s="16" t="s">
        <v>257</v>
      </c>
      <c r="I257" s="16" t="s">
        <v>268</v>
      </c>
      <c r="J257" s="18">
        <v>46063</v>
      </c>
      <c r="K257" s="18">
        <v>46064</v>
      </c>
      <c r="L257" s="19" t="str">
        <f>CONCATENATE(NETWORKDAYS(Consumo_Mensal!$J257, Consumo_Mensal!$K257)-1, " dia")</f>
        <v>1 dia</v>
      </c>
      <c r="M257" s="23">
        <f>IFERROR(Consumo_Mensal!$F257*VLOOKUP(Consumo_Mensal!$E257,TBEstoque[[DESCRIÇÃO]:[VALOR UNIT. (R$)]],7,0), 0)</f>
        <v>150.29349999999999</v>
      </c>
    </row>
    <row r="258" spans="2:13" ht="16.8" hidden="1">
      <c r="B258" s="16" t="str">
        <f>"PED-" &amp; Consumo_Mensal!$H258 &amp; "-" &amp; TEXT(Consumo_Mensal!$J258, "ddmmaa")</f>
        <v>PED-Farmácia Satélite - Unidade 03-100226</v>
      </c>
      <c r="C258" s="15">
        <v>20813</v>
      </c>
      <c r="D258" s="16" t="s">
        <v>2</v>
      </c>
      <c r="E258" s="16" t="s">
        <v>3</v>
      </c>
      <c r="F258" s="16">
        <v>1</v>
      </c>
      <c r="G258" s="16" t="s">
        <v>183</v>
      </c>
      <c r="H258" s="16" t="s">
        <v>257</v>
      </c>
      <c r="I258" s="16" t="s">
        <v>268</v>
      </c>
      <c r="J258" s="18">
        <v>46063</v>
      </c>
      <c r="K258" s="18">
        <v>46064</v>
      </c>
      <c r="L258" s="19" t="str">
        <f>CONCATENATE(NETWORKDAYS(Consumo_Mensal!$J258, Consumo_Mensal!$K258)-1, " dia")</f>
        <v>1 dia</v>
      </c>
      <c r="M258" s="23">
        <f>IFERROR(Consumo_Mensal!$F258*VLOOKUP(Consumo_Mensal!$E258,TBEstoque[[DESCRIÇÃO]:[VALOR UNIT. (R$)]],7,0), 0)</f>
        <v>136.5395</v>
      </c>
    </row>
    <row r="259" spans="2:13" ht="16.8" hidden="1">
      <c r="B259" s="16" t="str">
        <f>"PED-" &amp; Consumo_Mensal!$H259 &amp; "-" &amp; TEXT(Consumo_Mensal!$J259, "ddmmaa")</f>
        <v>PED-Farmácia Satélite - Unidade 03-100226</v>
      </c>
      <c r="C259" s="15">
        <v>20867</v>
      </c>
      <c r="D259" s="16" t="s">
        <v>2</v>
      </c>
      <c r="E259" s="16" t="s">
        <v>19</v>
      </c>
      <c r="F259" s="16">
        <v>6</v>
      </c>
      <c r="G259" s="20" t="s">
        <v>186</v>
      </c>
      <c r="H259" s="16" t="s">
        <v>257</v>
      </c>
      <c r="I259" s="16" t="s">
        <v>268</v>
      </c>
      <c r="J259" s="18">
        <v>46063</v>
      </c>
      <c r="K259" s="18">
        <v>46064</v>
      </c>
      <c r="L259" s="19" t="str">
        <f>CONCATENATE(NETWORKDAYS(Consumo_Mensal!$J259, Consumo_Mensal!$K259)-1, " dia")</f>
        <v>1 dia</v>
      </c>
      <c r="M259" s="23">
        <f>IFERROR(Consumo_Mensal!$F259*VLOOKUP(Consumo_Mensal!$E259,TBEstoque[[DESCRIÇÃO]:[VALOR UNIT. (R$)]],7,0), 0)</f>
        <v>11.453999999999999</v>
      </c>
    </row>
    <row r="260" spans="2:13" ht="16.8" hidden="1">
      <c r="B260" s="16" t="str">
        <f>"PED-" &amp; Consumo_Mensal!$H260 &amp; "-" &amp; TEXT(Consumo_Mensal!$J260, "ddmmaa")</f>
        <v>PED-Farmácia Satélite - Unidade 03-100226</v>
      </c>
      <c r="C260" s="15">
        <v>20880</v>
      </c>
      <c r="D260" s="20" t="s">
        <v>2</v>
      </c>
      <c r="E260" s="20" t="s">
        <v>21</v>
      </c>
      <c r="F260" s="16">
        <v>1</v>
      </c>
      <c r="G260" s="20" t="s">
        <v>186</v>
      </c>
      <c r="H260" s="16" t="s">
        <v>257</v>
      </c>
      <c r="I260" s="16" t="s">
        <v>268</v>
      </c>
      <c r="J260" s="18">
        <v>46063</v>
      </c>
      <c r="K260" s="18">
        <v>46064</v>
      </c>
      <c r="L260" s="19" t="str">
        <f>CONCATENATE(NETWORKDAYS(Consumo_Mensal!$J260, Consumo_Mensal!$K260)-1, " dia")</f>
        <v>1 dia</v>
      </c>
      <c r="M260" s="23">
        <f>IFERROR(Consumo_Mensal!$F260*VLOOKUP(Consumo_Mensal!$E260,TBEstoque[[DESCRIÇÃO]:[VALOR UNIT. (R$)]],7,0), 0)</f>
        <v>9.1425000000000001</v>
      </c>
    </row>
    <row r="261" spans="2:13" ht="16.8" hidden="1">
      <c r="B261" s="16" t="str">
        <f>"PED-" &amp; Consumo_Mensal!$H261 &amp; "-" &amp; TEXT(Consumo_Mensal!$J261, "ddmmaa")</f>
        <v>PED-Farmácia Satélite - Unidade 03-100226</v>
      </c>
      <c r="C261" s="15">
        <v>20880</v>
      </c>
      <c r="D261" s="20" t="s">
        <v>2</v>
      </c>
      <c r="E261" s="20" t="s">
        <v>21</v>
      </c>
      <c r="F261" s="16">
        <v>1</v>
      </c>
      <c r="G261" s="20" t="s">
        <v>186</v>
      </c>
      <c r="H261" s="16" t="s">
        <v>257</v>
      </c>
      <c r="I261" s="16" t="s">
        <v>268</v>
      </c>
      <c r="J261" s="18">
        <v>46063</v>
      </c>
      <c r="K261" s="18">
        <v>46064</v>
      </c>
      <c r="L261" s="19" t="str">
        <f>CONCATENATE(NETWORKDAYS(Consumo_Mensal!$J261, Consumo_Mensal!$K261)-1, " dia")</f>
        <v>1 dia</v>
      </c>
      <c r="M261" s="23">
        <f>IFERROR(Consumo_Mensal!$F261*VLOOKUP(Consumo_Mensal!$E261,TBEstoque[[DESCRIÇÃO]:[VALOR UNIT. (R$)]],7,0), 0)</f>
        <v>9.1425000000000001</v>
      </c>
    </row>
    <row r="262" spans="2:13" ht="16.8">
      <c r="B262" s="16" t="str">
        <f>"PED-" &amp; Consumo_Mensal!$H262 &amp; "-" &amp; TEXT(Consumo_Mensal!$J262, "ddmmaa")</f>
        <v>PED-Planta Industrial - Suprimentos-100226</v>
      </c>
      <c r="C262" s="15">
        <v>20848</v>
      </c>
      <c r="D262" s="16" t="s">
        <v>2</v>
      </c>
      <c r="E262" s="16" t="s">
        <v>7</v>
      </c>
      <c r="F262" s="16">
        <v>2</v>
      </c>
      <c r="G262" s="16" t="s">
        <v>184</v>
      </c>
      <c r="H262" s="16" t="s">
        <v>258</v>
      </c>
      <c r="I262" s="16" t="s">
        <v>269</v>
      </c>
      <c r="J262" s="18">
        <v>46063</v>
      </c>
      <c r="K262" s="18">
        <v>46064</v>
      </c>
      <c r="L262" s="19" t="str">
        <f>CONCATENATE(NETWORKDAYS(Consumo_Mensal!$J262, Consumo_Mensal!$K262)-1, " dia")</f>
        <v>1 dia</v>
      </c>
      <c r="M262" s="23">
        <f>IFERROR(Consumo_Mensal!$F262*VLOOKUP(Consumo_Mensal!$E262,TBEstoque[[DESCRIÇÃO]:[VALOR UNIT. (R$)]],7,0), 0)</f>
        <v>97.864999999999981</v>
      </c>
    </row>
    <row r="263" spans="2:13" ht="16.8">
      <c r="B263" s="16" t="str">
        <f>"PED-" &amp; Consumo_Mensal!$H263 &amp; "-" &amp; TEXT(Consumo_Mensal!$J263, "ddmmaa")</f>
        <v>PED-Planta Industrial - Suprimentos-100226</v>
      </c>
      <c r="C263" s="15">
        <v>20850</v>
      </c>
      <c r="D263" s="16" t="s">
        <v>2</v>
      </c>
      <c r="E263" s="16" t="s">
        <v>42</v>
      </c>
      <c r="F263" s="16">
        <v>1</v>
      </c>
      <c r="G263" s="16" t="s">
        <v>184</v>
      </c>
      <c r="H263" s="16" t="s">
        <v>258</v>
      </c>
      <c r="I263" s="16" t="s">
        <v>269</v>
      </c>
      <c r="J263" s="18">
        <v>46063</v>
      </c>
      <c r="K263" s="18">
        <v>46064</v>
      </c>
      <c r="L263" s="19" t="str">
        <f>CONCATENATE(NETWORKDAYS(Consumo_Mensal!$J263, Consumo_Mensal!$K263)-1, " dia")</f>
        <v>1 dia</v>
      </c>
      <c r="M263" s="23">
        <f>IFERROR(Consumo_Mensal!$F263*VLOOKUP(Consumo_Mensal!$E263,TBEstoque[[DESCRIÇÃO]:[VALOR UNIT. (R$)]],7,0), 0)</f>
        <v>35.362499999999997</v>
      </c>
    </row>
    <row r="264" spans="2:13" ht="16.8">
      <c r="B264" s="16" t="str">
        <f>"PED-" &amp; Consumo_Mensal!$H264 &amp; "-" &amp; TEXT(Consumo_Mensal!$J264, "ddmmaa")</f>
        <v>PED-Planta Industrial - Suprimentos-100226</v>
      </c>
      <c r="C264" s="15">
        <v>20851</v>
      </c>
      <c r="D264" s="16" t="s">
        <v>2</v>
      </c>
      <c r="E264" s="16" t="s">
        <v>13</v>
      </c>
      <c r="F264" s="16">
        <v>10</v>
      </c>
      <c r="G264" s="20" t="s">
        <v>186</v>
      </c>
      <c r="H264" s="16" t="s">
        <v>258</v>
      </c>
      <c r="I264" s="16" t="s">
        <v>269</v>
      </c>
      <c r="J264" s="18">
        <v>46063</v>
      </c>
      <c r="K264" s="18">
        <v>46064</v>
      </c>
      <c r="L264" s="19" t="str">
        <f>CONCATENATE(NETWORKDAYS(Consumo_Mensal!$J264, Consumo_Mensal!$K264)-1, " dia")</f>
        <v>1 dia</v>
      </c>
      <c r="M264" s="23">
        <f>IFERROR(Consumo_Mensal!$F264*VLOOKUP(Consumo_Mensal!$E264,TBEstoque[[DESCRIÇÃO]:[VALOR UNIT. (R$)]],7,0), 0)</f>
        <v>19.549999999999997</v>
      </c>
    </row>
    <row r="265" spans="2:13" ht="16.8">
      <c r="B265" s="16" t="str">
        <f>"PED-" &amp; Consumo_Mensal!$H265 &amp; "-" &amp; TEXT(Consumo_Mensal!$J265, "ddmmaa")</f>
        <v>PED-Planta Industrial - Suprimentos-100226</v>
      </c>
      <c r="C265" s="15">
        <v>20852</v>
      </c>
      <c r="D265" s="16" t="s">
        <v>2</v>
      </c>
      <c r="E265" s="16" t="s">
        <v>43</v>
      </c>
      <c r="F265" s="16">
        <v>5</v>
      </c>
      <c r="G265" s="20" t="s">
        <v>186</v>
      </c>
      <c r="H265" s="16" t="s">
        <v>258</v>
      </c>
      <c r="I265" s="16" t="s">
        <v>269</v>
      </c>
      <c r="J265" s="18">
        <v>46063</v>
      </c>
      <c r="K265" s="18">
        <v>46064</v>
      </c>
      <c r="L265" s="19" t="str">
        <f>CONCATENATE(NETWORKDAYS(Consumo_Mensal!$J265, Consumo_Mensal!$K265)-1, " dia")</f>
        <v>1 dia</v>
      </c>
      <c r="M265" s="23">
        <f>IFERROR(Consumo_Mensal!$F265*VLOOKUP(Consumo_Mensal!$E265,TBEstoque[[DESCRIÇÃO]:[VALOR UNIT. (R$)]],7,0), 0)</f>
        <v>14.95</v>
      </c>
    </row>
    <row r="266" spans="2:13" ht="16.8">
      <c r="B266" s="16" t="str">
        <f>"PED-" &amp; Consumo_Mensal!$H266 &amp; "-" &amp; TEXT(Consumo_Mensal!$J266, "ddmmaa")</f>
        <v>PED-Planta Industrial - Suprimentos-100226</v>
      </c>
      <c r="C266" s="15">
        <v>20853</v>
      </c>
      <c r="D266" s="16" t="s">
        <v>2</v>
      </c>
      <c r="E266" s="16" t="s">
        <v>44</v>
      </c>
      <c r="F266" s="16">
        <v>1</v>
      </c>
      <c r="G266" s="20" t="s">
        <v>186</v>
      </c>
      <c r="H266" s="16" t="s">
        <v>258</v>
      </c>
      <c r="I266" s="16" t="s">
        <v>269</v>
      </c>
      <c r="J266" s="18">
        <v>46063</v>
      </c>
      <c r="K266" s="18">
        <v>46064</v>
      </c>
      <c r="L266" s="19" t="str">
        <f>CONCATENATE(NETWORKDAYS(Consumo_Mensal!$J266, Consumo_Mensal!$K266)-1, " dia")</f>
        <v>1 dia</v>
      </c>
      <c r="M266" s="23">
        <f>IFERROR(Consumo_Mensal!$F266*VLOOKUP(Consumo_Mensal!$E266,TBEstoque[[DESCRIÇÃO]:[VALOR UNIT. (R$)]],7,0), 0)</f>
        <v>32.602499999999999</v>
      </c>
    </row>
    <row r="267" spans="2:13" ht="16.8">
      <c r="B267" s="16" t="str">
        <f>"PED-" &amp; Consumo_Mensal!$H267 &amp; "-" &amp; TEXT(Consumo_Mensal!$J267, "ddmmaa")</f>
        <v>PED-Planta Industrial - Suprimentos-100226</v>
      </c>
      <c r="C267" s="15">
        <v>20812</v>
      </c>
      <c r="D267" s="16" t="s">
        <v>2</v>
      </c>
      <c r="E267" s="16" t="s">
        <v>17</v>
      </c>
      <c r="F267" s="16">
        <v>2</v>
      </c>
      <c r="G267" s="16" t="s">
        <v>183</v>
      </c>
      <c r="H267" s="16" t="s">
        <v>258</v>
      </c>
      <c r="I267" s="16" t="s">
        <v>269</v>
      </c>
      <c r="J267" s="18">
        <v>46063</v>
      </c>
      <c r="K267" s="18">
        <v>46064</v>
      </c>
      <c r="L267" s="19" t="str">
        <f>CONCATENATE(NETWORKDAYS(Consumo_Mensal!$J267, Consumo_Mensal!$K267)-1, " dia")</f>
        <v>1 dia</v>
      </c>
      <c r="M267" s="23">
        <f>IFERROR(Consumo_Mensal!$F267*VLOOKUP(Consumo_Mensal!$E267,TBEstoque[[DESCRIÇÃO]:[VALOR UNIT. (R$)]],7,0), 0)</f>
        <v>300.58699999999999</v>
      </c>
    </row>
    <row r="268" spans="2:13" ht="16.8">
      <c r="B268" s="16" t="str">
        <f>"PED-" &amp; Consumo_Mensal!$H268 &amp; "-" &amp; TEXT(Consumo_Mensal!$J268, "ddmmaa")</f>
        <v>PED-Planta Industrial - Suprimentos-100226</v>
      </c>
      <c r="C268" s="15">
        <v>20866</v>
      </c>
      <c r="D268" s="16" t="s">
        <v>2</v>
      </c>
      <c r="E268" s="16" t="s">
        <v>18</v>
      </c>
      <c r="F268" s="16">
        <v>1</v>
      </c>
      <c r="G268" s="16" t="s">
        <v>183</v>
      </c>
      <c r="H268" s="16" t="s">
        <v>258</v>
      </c>
      <c r="I268" s="16" t="s">
        <v>269</v>
      </c>
      <c r="J268" s="18">
        <v>46063</v>
      </c>
      <c r="K268" s="18">
        <v>46064</v>
      </c>
      <c r="L268" s="19" t="str">
        <f>CONCATENATE(NETWORKDAYS(Consumo_Mensal!$J268, Consumo_Mensal!$K268)-1, " dia")</f>
        <v>1 dia</v>
      </c>
      <c r="M268" s="23">
        <f>IFERROR(Consumo_Mensal!$F268*VLOOKUP(Consumo_Mensal!$E268,TBEstoque[[DESCRIÇÃO]:[VALOR UNIT. (R$)]],7,0), 0)</f>
        <v>58.327999999999996</v>
      </c>
    </row>
    <row r="269" spans="2:13" ht="16.8">
      <c r="B269" s="16" t="str">
        <f>"PED-" &amp; Consumo_Mensal!$H269 &amp; "-" &amp; TEXT(Consumo_Mensal!$J269, "ddmmaa")</f>
        <v>PED-Planta Industrial - Suprimentos-100226</v>
      </c>
      <c r="C269" s="15">
        <v>20813</v>
      </c>
      <c r="D269" s="16" t="s">
        <v>2</v>
      </c>
      <c r="E269" s="16" t="s">
        <v>3</v>
      </c>
      <c r="F269" s="16">
        <v>1</v>
      </c>
      <c r="G269" s="16" t="s">
        <v>183</v>
      </c>
      <c r="H269" s="16" t="s">
        <v>258</v>
      </c>
      <c r="I269" s="16" t="s">
        <v>269</v>
      </c>
      <c r="J269" s="18">
        <v>46063</v>
      </c>
      <c r="K269" s="18">
        <v>46064</v>
      </c>
      <c r="L269" s="19" t="str">
        <f>CONCATENATE(NETWORKDAYS(Consumo_Mensal!$J269, Consumo_Mensal!$K269)-1, " dia")</f>
        <v>1 dia</v>
      </c>
      <c r="M269" s="23">
        <f>IFERROR(Consumo_Mensal!$F269*VLOOKUP(Consumo_Mensal!$E269,TBEstoque[[DESCRIÇÃO]:[VALOR UNIT. (R$)]],7,0), 0)</f>
        <v>136.5395</v>
      </c>
    </row>
    <row r="270" spans="2:13" ht="16.8">
      <c r="B270" s="16" t="str">
        <f>"PED-" &amp; Consumo_Mensal!$H270 &amp; "-" &amp; TEXT(Consumo_Mensal!$J270, "ddmmaa")</f>
        <v>PED-Planta Industrial - Suprimentos-100226</v>
      </c>
      <c r="C270" s="15">
        <v>20869</v>
      </c>
      <c r="D270" s="16" t="s">
        <v>2</v>
      </c>
      <c r="E270" s="16" t="s">
        <v>38</v>
      </c>
      <c r="F270" s="16">
        <v>1</v>
      </c>
      <c r="G270" s="16" t="s">
        <v>183</v>
      </c>
      <c r="H270" s="16" t="s">
        <v>258</v>
      </c>
      <c r="I270" s="16" t="s">
        <v>269</v>
      </c>
      <c r="J270" s="18">
        <v>46063</v>
      </c>
      <c r="K270" s="18">
        <v>46064</v>
      </c>
      <c r="L270" s="19" t="str">
        <f>CONCATENATE(NETWORKDAYS(Consumo_Mensal!$J270, Consumo_Mensal!$K270)-1, " dia")</f>
        <v>1 dia</v>
      </c>
      <c r="M270" s="23">
        <f>IFERROR(Consumo_Mensal!$F270*VLOOKUP(Consumo_Mensal!$E270,TBEstoque[[DESCRIÇÃO]:[VALOR UNIT. (R$)]],7,0), 0)</f>
        <v>15.352499999999999</v>
      </c>
    </row>
    <row r="271" spans="2:13" ht="16.8">
      <c r="B271" s="16" t="str">
        <f>"PED-" &amp; Consumo_Mensal!$H271 &amp; "-" &amp; TEXT(Consumo_Mensal!$J271, "ddmmaa")</f>
        <v>PED-Planta Industrial - Suprimentos-100226</v>
      </c>
      <c r="C271" s="15">
        <v>20871</v>
      </c>
      <c r="D271" s="16" t="s">
        <v>2</v>
      </c>
      <c r="E271" s="13" t="s">
        <v>124</v>
      </c>
      <c r="F271" s="16">
        <v>1</v>
      </c>
      <c r="G271" s="16" t="s">
        <v>184</v>
      </c>
      <c r="H271" s="16" t="s">
        <v>258</v>
      </c>
      <c r="I271" s="16" t="s">
        <v>269</v>
      </c>
      <c r="J271" s="18">
        <v>46063</v>
      </c>
      <c r="K271" s="18">
        <v>46064</v>
      </c>
      <c r="L271" s="19" t="str">
        <f>CONCATENATE(NETWORKDAYS(Consumo_Mensal!$J271, Consumo_Mensal!$K271)-1, " dia")</f>
        <v>1 dia</v>
      </c>
      <c r="M271" s="23">
        <f>IFERROR(Consumo_Mensal!$F271*VLOOKUP(Consumo_Mensal!$E271,TBEstoque[[DESCRIÇÃO]:[VALOR UNIT. (R$)]],7,0), 0)</f>
        <v>38.64</v>
      </c>
    </row>
    <row r="272" spans="2:13" ht="16.8">
      <c r="B272" s="16" t="str">
        <f>"PED-" &amp; Consumo_Mensal!$H272 &amp; "-" &amp; TEXT(Consumo_Mensal!$J272, "ddmmaa")</f>
        <v>PED-Planta Industrial - Suprimentos-100226</v>
      </c>
      <c r="C272" s="15">
        <v>20868</v>
      </c>
      <c r="D272" s="16" t="s">
        <v>2</v>
      </c>
      <c r="E272" s="16" t="s">
        <v>39</v>
      </c>
      <c r="F272" s="16">
        <v>3</v>
      </c>
      <c r="G272" s="20" t="s">
        <v>186</v>
      </c>
      <c r="H272" s="16" t="s">
        <v>258</v>
      </c>
      <c r="I272" s="16" t="s">
        <v>269</v>
      </c>
      <c r="J272" s="18">
        <v>46063</v>
      </c>
      <c r="K272" s="18">
        <v>46064</v>
      </c>
      <c r="L272" s="19" t="str">
        <f>CONCATENATE(NETWORKDAYS(Consumo_Mensal!$J272, Consumo_Mensal!$K272)-1, " dia")</f>
        <v>1 dia</v>
      </c>
      <c r="M272" s="23">
        <f>IFERROR(Consumo_Mensal!$F272*VLOOKUP(Consumo_Mensal!$E272,TBEstoque[[DESCRIÇÃO]:[VALOR UNIT. (R$)]],7,0), 0)</f>
        <v>21.355499999999999</v>
      </c>
    </row>
    <row r="273" spans="2:13" ht="16.8">
      <c r="B273" s="16" t="str">
        <f>"PED-" &amp; Consumo_Mensal!$H273 &amp; "-" &amp; TEXT(Consumo_Mensal!$J273, "ddmmaa")</f>
        <v>PED-Planta Industrial - Suprimentos-100226</v>
      </c>
      <c r="C273" s="15">
        <v>20876</v>
      </c>
      <c r="D273" s="16" t="s">
        <v>2</v>
      </c>
      <c r="E273" s="16" t="s">
        <v>46</v>
      </c>
      <c r="F273" s="16">
        <v>6</v>
      </c>
      <c r="G273" s="16" t="s">
        <v>191</v>
      </c>
      <c r="H273" s="16" t="s">
        <v>258</v>
      </c>
      <c r="I273" s="16" t="s">
        <v>269</v>
      </c>
      <c r="J273" s="18">
        <v>46063</v>
      </c>
      <c r="K273" s="18">
        <v>46064</v>
      </c>
      <c r="L273" s="19" t="str">
        <f>CONCATENATE(NETWORKDAYS(Consumo_Mensal!$J273, Consumo_Mensal!$K273)-1, " dia")</f>
        <v>1 dia</v>
      </c>
      <c r="M273" s="23">
        <f>IFERROR(Consumo_Mensal!$F273*VLOOKUP(Consumo_Mensal!$E273,TBEstoque[[DESCRIÇÃO]:[VALOR UNIT. (R$)]],7,0), 0)</f>
        <v>403.65</v>
      </c>
    </row>
    <row r="274" spans="2:13" ht="16.8">
      <c r="B274" s="16" t="str">
        <f>"PED-" &amp; Consumo_Mensal!$H274 &amp; "-" &amp; TEXT(Consumo_Mensal!$J274, "ddmmaa")</f>
        <v>PED-Planta Industrial - Suprimentos-100226</v>
      </c>
      <c r="C274" s="15">
        <v>20880</v>
      </c>
      <c r="D274" s="20" t="s">
        <v>2</v>
      </c>
      <c r="E274" s="20" t="s">
        <v>21</v>
      </c>
      <c r="F274" s="16">
        <v>2</v>
      </c>
      <c r="G274" s="20" t="s">
        <v>186</v>
      </c>
      <c r="H274" s="16" t="s">
        <v>258</v>
      </c>
      <c r="I274" s="16" t="s">
        <v>269</v>
      </c>
      <c r="J274" s="18">
        <v>46063</v>
      </c>
      <c r="K274" s="18">
        <v>46064</v>
      </c>
      <c r="L274" s="19" t="str">
        <f>CONCATENATE(NETWORKDAYS(Consumo_Mensal!$J274, Consumo_Mensal!$K274)-1, " dia")</f>
        <v>1 dia</v>
      </c>
      <c r="M274" s="23">
        <f>IFERROR(Consumo_Mensal!$F274*VLOOKUP(Consumo_Mensal!$E274,TBEstoque[[DESCRIÇÃO]:[VALOR UNIT. (R$)]],7,0), 0)</f>
        <v>18.285</v>
      </c>
    </row>
    <row r="275" spans="2:13" ht="16.8" hidden="1">
      <c r="B275" s="16" t="str">
        <f>"PED-" &amp; Consumo_Mensal!$H275 &amp; "-" &amp; TEXT(Consumo_Mensal!$J275, "ddmmaa")</f>
        <v>PED-Farmácia Satélite - Unidade 04-100226</v>
      </c>
      <c r="C275" s="15">
        <v>20869</v>
      </c>
      <c r="D275" s="16" t="s">
        <v>2</v>
      </c>
      <c r="E275" s="16" t="s">
        <v>38</v>
      </c>
      <c r="F275" s="16">
        <v>2</v>
      </c>
      <c r="G275" s="16" t="s">
        <v>183</v>
      </c>
      <c r="H275" s="16" t="s">
        <v>259</v>
      </c>
      <c r="I275" s="16" t="s">
        <v>270</v>
      </c>
      <c r="J275" s="18">
        <v>46063</v>
      </c>
      <c r="K275" s="18">
        <v>46064</v>
      </c>
      <c r="L275" s="19" t="str">
        <f>CONCATENATE(NETWORKDAYS(Consumo_Mensal!$J275, Consumo_Mensal!$K275)-1, " dia")</f>
        <v>1 dia</v>
      </c>
      <c r="M275" s="23">
        <f>IFERROR(Consumo_Mensal!$F275*VLOOKUP(Consumo_Mensal!$E275,TBEstoque[[DESCRIÇÃO]:[VALOR UNIT. (R$)]],7,0), 0)</f>
        <v>30.704999999999998</v>
      </c>
    </row>
    <row r="276" spans="2:13" ht="16.8" hidden="1">
      <c r="B276" s="16" t="str">
        <f>"PED-" &amp; Consumo_Mensal!$H276 &amp; "-" &amp; TEXT(Consumo_Mensal!$J276, "ddmmaa")</f>
        <v>PED-Farmácia Satélite - Unidade 04-100226</v>
      </c>
      <c r="C276" s="15">
        <v>20867</v>
      </c>
      <c r="D276" s="16" t="s">
        <v>2</v>
      </c>
      <c r="E276" s="16" t="s">
        <v>19</v>
      </c>
      <c r="F276" s="16">
        <v>6</v>
      </c>
      <c r="G276" s="20" t="s">
        <v>186</v>
      </c>
      <c r="H276" s="16" t="s">
        <v>259</v>
      </c>
      <c r="I276" s="16" t="s">
        <v>270</v>
      </c>
      <c r="J276" s="18">
        <v>46063</v>
      </c>
      <c r="K276" s="18">
        <v>46064</v>
      </c>
      <c r="L276" s="19" t="str">
        <f>CONCATENATE(NETWORKDAYS(Consumo_Mensal!$J276, Consumo_Mensal!$K276)-1, " dia")</f>
        <v>1 dia</v>
      </c>
      <c r="M276" s="23">
        <f>IFERROR(Consumo_Mensal!$F276*VLOOKUP(Consumo_Mensal!$E276,TBEstoque[[DESCRIÇÃO]:[VALOR UNIT. (R$)]],7,0), 0)</f>
        <v>11.453999999999999</v>
      </c>
    </row>
    <row r="277" spans="2:13" ht="16.8" hidden="1">
      <c r="B277" s="16" t="str">
        <f>"PED-" &amp; Consumo_Mensal!$H277 &amp; "-" &amp; TEXT(Consumo_Mensal!$J277, "ddmmaa")</f>
        <v>PED-Farmácia Satélite - Unidade 04-100226</v>
      </c>
      <c r="C277" s="13">
        <v>926</v>
      </c>
      <c r="D277" s="16" t="s">
        <v>2</v>
      </c>
      <c r="E277" s="16" t="s">
        <v>47</v>
      </c>
      <c r="F277" s="16">
        <v>2</v>
      </c>
      <c r="G277" s="20" t="s">
        <v>186</v>
      </c>
      <c r="H277" s="16" t="s">
        <v>259</v>
      </c>
      <c r="I277" s="16" t="s">
        <v>270</v>
      </c>
      <c r="J277" s="18">
        <v>46063</v>
      </c>
      <c r="K277" s="18">
        <v>46064</v>
      </c>
      <c r="L277" s="19" t="str">
        <f>CONCATENATE(NETWORKDAYS(Consumo_Mensal!$J277, Consumo_Mensal!$K277)-1, " dia")</f>
        <v>1 dia</v>
      </c>
      <c r="M277" s="23">
        <f>IFERROR(Consumo_Mensal!$F277*VLOOKUP(Consumo_Mensal!$E277,TBEstoque[[DESCRIÇÃO]:[VALOR UNIT. (R$)]],7,0), 0)</f>
        <v>54.854999999999997</v>
      </c>
    </row>
    <row r="278" spans="2:13" ht="16.8" hidden="1">
      <c r="B278" s="16" t="str">
        <f>"PED-" &amp; Consumo_Mensal!$H278 &amp; "-" &amp; TEXT(Consumo_Mensal!$J278, "ddmmaa")</f>
        <v>PED-Farmácia Satélite - Unidade 04-100226</v>
      </c>
      <c r="C278" s="15">
        <v>20851</v>
      </c>
      <c r="D278" s="16" t="s">
        <v>2</v>
      </c>
      <c r="E278" s="16" t="s">
        <v>13</v>
      </c>
      <c r="F278" s="16">
        <v>3</v>
      </c>
      <c r="G278" s="20" t="s">
        <v>186</v>
      </c>
      <c r="H278" s="16" t="s">
        <v>259</v>
      </c>
      <c r="I278" s="16" t="s">
        <v>270</v>
      </c>
      <c r="J278" s="18">
        <v>46063</v>
      </c>
      <c r="K278" s="18">
        <v>46064</v>
      </c>
      <c r="L278" s="19" t="str">
        <f>CONCATENATE(NETWORKDAYS(Consumo_Mensal!$J278, Consumo_Mensal!$K278)-1, " dia")</f>
        <v>1 dia</v>
      </c>
      <c r="M278" s="23">
        <f>IFERROR(Consumo_Mensal!$F278*VLOOKUP(Consumo_Mensal!$E278,TBEstoque[[DESCRIÇÃO]:[VALOR UNIT. (R$)]],7,0), 0)</f>
        <v>5.8649999999999993</v>
      </c>
    </row>
    <row r="279" spans="2:13" ht="16.8" hidden="1">
      <c r="B279" s="16" t="str">
        <f>"PED-" &amp; Consumo_Mensal!$H279 &amp; "-" &amp; TEXT(Consumo_Mensal!$J279, "ddmmaa")</f>
        <v>PED-Farmácia Satélite - Unidade 04-100226</v>
      </c>
      <c r="C279" s="15">
        <v>20812</v>
      </c>
      <c r="D279" s="16" t="s">
        <v>2</v>
      </c>
      <c r="E279" s="16" t="s">
        <v>17</v>
      </c>
      <c r="F279" s="16">
        <v>1</v>
      </c>
      <c r="G279" s="16" t="s">
        <v>183</v>
      </c>
      <c r="H279" s="16" t="s">
        <v>259</v>
      </c>
      <c r="I279" s="16" t="s">
        <v>270</v>
      </c>
      <c r="J279" s="18">
        <v>46063</v>
      </c>
      <c r="K279" s="18">
        <v>46064</v>
      </c>
      <c r="L279" s="19" t="str">
        <f>CONCATENATE(NETWORKDAYS(Consumo_Mensal!$J279, Consumo_Mensal!$K279)-1, " dia")</f>
        <v>1 dia</v>
      </c>
      <c r="M279" s="23">
        <f>IFERROR(Consumo_Mensal!$F279*VLOOKUP(Consumo_Mensal!$E279,TBEstoque[[DESCRIÇÃO]:[VALOR UNIT. (R$)]],7,0), 0)</f>
        <v>150.29349999999999</v>
      </c>
    </row>
    <row r="280" spans="2:13" ht="16.8" hidden="1">
      <c r="B280" s="16" t="str">
        <f>"PED-" &amp; Consumo_Mensal!$H280 &amp; "-" &amp; TEXT(Consumo_Mensal!$J280, "ddmmaa")</f>
        <v>PED-Farmácia Satélite - Unidade 04-100226</v>
      </c>
      <c r="C280" s="15">
        <v>20813</v>
      </c>
      <c r="D280" s="16" t="s">
        <v>2</v>
      </c>
      <c r="E280" s="16" t="s">
        <v>3</v>
      </c>
      <c r="F280" s="16">
        <v>1</v>
      </c>
      <c r="G280" s="16" t="s">
        <v>183</v>
      </c>
      <c r="H280" s="16" t="s">
        <v>259</v>
      </c>
      <c r="I280" s="16" t="s">
        <v>270</v>
      </c>
      <c r="J280" s="18">
        <v>46063</v>
      </c>
      <c r="K280" s="18">
        <v>46064</v>
      </c>
      <c r="L280" s="19" t="str">
        <f>CONCATENATE(NETWORKDAYS(Consumo_Mensal!$J280, Consumo_Mensal!$K280)-1, " dia")</f>
        <v>1 dia</v>
      </c>
      <c r="M280" s="23">
        <f>IFERROR(Consumo_Mensal!$F280*VLOOKUP(Consumo_Mensal!$E280,TBEstoque[[DESCRIÇÃO]:[VALOR UNIT. (R$)]],7,0), 0)</f>
        <v>136.5395</v>
      </c>
    </row>
    <row r="281" spans="2:13" ht="16.8" hidden="1">
      <c r="B281" s="16" t="str">
        <f>"PED-" &amp; Consumo_Mensal!$H281 &amp; "-" &amp; TEXT(Consumo_Mensal!$J281, "ddmmaa")</f>
        <v>PED-Farmácia Satélite - Unidade 04-100226</v>
      </c>
      <c r="C281" s="15">
        <v>20866</v>
      </c>
      <c r="D281" s="16" t="s">
        <v>2</v>
      </c>
      <c r="E281" s="16" t="s">
        <v>18</v>
      </c>
      <c r="F281" s="16">
        <v>1</v>
      </c>
      <c r="G281" s="16" t="s">
        <v>183</v>
      </c>
      <c r="H281" s="16" t="s">
        <v>259</v>
      </c>
      <c r="I281" s="16" t="s">
        <v>270</v>
      </c>
      <c r="J281" s="18">
        <v>46063</v>
      </c>
      <c r="K281" s="18">
        <v>46064</v>
      </c>
      <c r="L281" s="19" t="str">
        <f>CONCATENATE(NETWORKDAYS(Consumo_Mensal!$J281, Consumo_Mensal!$K281)-1, " dia")</f>
        <v>1 dia</v>
      </c>
      <c r="M281" s="23">
        <f>IFERROR(Consumo_Mensal!$F281*VLOOKUP(Consumo_Mensal!$E281,TBEstoque[[DESCRIÇÃO]:[VALOR UNIT. (R$)]],7,0), 0)</f>
        <v>58.327999999999996</v>
      </c>
    </row>
    <row r="282" spans="2:13" ht="16.8" hidden="1">
      <c r="B282" s="16" t="str">
        <f>"PED-" &amp; Consumo_Mensal!$H282 &amp; "-" &amp; TEXT(Consumo_Mensal!$J282, "ddmmaa")</f>
        <v>PED-Farmácia Satélite - Unidade 04-100226</v>
      </c>
      <c r="C282" s="15">
        <v>20862</v>
      </c>
      <c r="D282" s="16" t="s">
        <v>2</v>
      </c>
      <c r="E282" s="16" t="s">
        <v>48</v>
      </c>
      <c r="F282" s="16">
        <v>4</v>
      </c>
      <c r="G282" s="20" t="s">
        <v>186</v>
      </c>
      <c r="H282" s="16" t="s">
        <v>259</v>
      </c>
      <c r="I282" s="16" t="s">
        <v>270</v>
      </c>
      <c r="J282" s="18">
        <v>46063</v>
      </c>
      <c r="K282" s="18">
        <v>46064</v>
      </c>
      <c r="L282" s="19" t="str">
        <f>CONCATENATE(NETWORKDAYS(Consumo_Mensal!$J282, Consumo_Mensal!$K282)-1, " dia")</f>
        <v>1 dia</v>
      </c>
      <c r="M282" s="23">
        <f>IFERROR(Consumo_Mensal!$F282*VLOOKUP(Consumo_Mensal!$E282,TBEstoque[[DESCRIÇÃO]:[VALOR UNIT. (R$)]],7,0), 0)</f>
        <v>24.103999999999999</v>
      </c>
    </row>
    <row r="283" spans="2:13" ht="16.8" hidden="1">
      <c r="B283" s="16" t="str">
        <f>"PED-" &amp; Consumo_Mensal!$H283 &amp; "-" &amp; TEXT(Consumo_Mensal!$J283, "ddmmaa")</f>
        <v>PED-Farmácia Satélite - Unidade 04-100226</v>
      </c>
      <c r="C283" s="15">
        <v>20852</v>
      </c>
      <c r="D283" s="16" t="s">
        <v>2</v>
      </c>
      <c r="E283" s="16" t="s">
        <v>43</v>
      </c>
      <c r="F283" s="16">
        <v>5</v>
      </c>
      <c r="G283" s="20" t="s">
        <v>186</v>
      </c>
      <c r="H283" s="16" t="s">
        <v>259</v>
      </c>
      <c r="I283" s="16" t="s">
        <v>270</v>
      </c>
      <c r="J283" s="18">
        <v>46063</v>
      </c>
      <c r="K283" s="18">
        <v>46064</v>
      </c>
      <c r="L283" s="19" t="str">
        <f>CONCATENATE(NETWORKDAYS(Consumo_Mensal!$J283, Consumo_Mensal!$K283)-1, " dia")</f>
        <v>1 dia</v>
      </c>
      <c r="M283" s="23">
        <f>IFERROR(Consumo_Mensal!$F283*VLOOKUP(Consumo_Mensal!$E283,TBEstoque[[DESCRIÇÃO]:[VALOR UNIT. (R$)]],7,0), 0)</f>
        <v>14.95</v>
      </c>
    </row>
    <row r="284" spans="2:13" ht="16.8" hidden="1">
      <c r="B284" s="16" t="str">
        <f>"PED-" &amp; Consumo_Mensal!$H284 &amp; "-" &amp; TEXT(Consumo_Mensal!$J284, "ddmmaa")</f>
        <v>PED-Escritório Central - Sede-110226</v>
      </c>
      <c r="C284" s="15">
        <v>20848</v>
      </c>
      <c r="D284" s="16" t="s">
        <v>2</v>
      </c>
      <c r="E284" s="16" t="s">
        <v>7</v>
      </c>
      <c r="F284" s="16">
        <v>1</v>
      </c>
      <c r="G284" s="16" t="s">
        <v>184</v>
      </c>
      <c r="H284" s="16" t="s">
        <v>260</v>
      </c>
      <c r="I284" s="16" t="s">
        <v>271</v>
      </c>
      <c r="J284" s="18">
        <v>46064</v>
      </c>
      <c r="K284" s="18">
        <v>46065</v>
      </c>
      <c r="L284" s="19" t="str">
        <f>CONCATENATE(NETWORKDAYS(Consumo_Mensal!$J284, Consumo_Mensal!$K284)-1, " dia")</f>
        <v>1 dia</v>
      </c>
      <c r="M284" s="23">
        <f>IFERROR(Consumo_Mensal!$F284*VLOOKUP(Consumo_Mensal!$E284,TBEstoque[[DESCRIÇÃO]:[VALOR UNIT. (R$)]],7,0), 0)</f>
        <v>48.93249999999999</v>
      </c>
    </row>
    <row r="285" spans="2:13" ht="16.8" hidden="1">
      <c r="B285" s="16" t="str">
        <f>"PED-" &amp; Consumo_Mensal!$H285 &amp; "-" &amp; TEXT(Consumo_Mensal!$J285, "ddmmaa")</f>
        <v>PED-Escritório Central - Sede-110226</v>
      </c>
      <c r="C285" s="15">
        <v>20847</v>
      </c>
      <c r="D285" s="16" t="s">
        <v>2</v>
      </c>
      <c r="E285" s="16" t="s">
        <v>6</v>
      </c>
      <c r="F285" s="16">
        <v>1</v>
      </c>
      <c r="G285" s="16" t="s">
        <v>184</v>
      </c>
      <c r="H285" s="16" t="s">
        <v>260</v>
      </c>
      <c r="I285" s="16" t="s">
        <v>271</v>
      </c>
      <c r="J285" s="18">
        <v>46064</v>
      </c>
      <c r="K285" s="18">
        <v>46065</v>
      </c>
      <c r="L285" s="19" t="str">
        <f>CONCATENATE(NETWORKDAYS(Consumo_Mensal!$J285, Consumo_Mensal!$K285)-1, " dia")</f>
        <v>1 dia</v>
      </c>
      <c r="M285" s="23">
        <f>IFERROR(Consumo_Mensal!$F285*VLOOKUP(Consumo_Mensal!$E285,TBEstoque[[DESCRIÇÃO]:[VALOR UNIT. (R$)]],7,0), 0)</f>
        <v>24.84</v>
      </c>
    </row>
    <row r="286" spans="2:13" ht="16.8" hidden="1">
      <c r="B286" s="16" t="str">
        <f>"PED-" &amp; Consumo_Mensal!$H286 &amp; "-" &amp; TEXT(Consumo_Mensal!$J286, "ddmmaa")</f>
        <v>PED-Escritório Central - Sede-110226</v>
      </c>
      <c r="C286" s="15">
        <v>20850</v>
      </c>
      <c r="D286" s="16" t="s">
        <v>2</v>
      </c>
      <c r="E286" s="16" t="s">
        <v>42</v>
      </c>
      <c r="F286" s="16">
        <v>1</v>
      </c>
      <c r="G286" s="16" t="s">
        <v>184</v>
      </c>
      <c r="H286" s="16" t="s">
        <v>260</v>
      </c>
      <c r="I286" s="16" t="s">
        <v>271</v>
      </c>
      <c r="J286" s="18">
        <v>46064</v>
      </c>
      <c r="K286" s="18">
        <v>46065</v>
      </c>
      <c r="L286" s="19" t="str">
        <f>CONCATENATE(NETWORKDAYS(Consumo_Mensal!$J286, Consumo_Mensal!$K286)-1, " dia")</f>
        <v>1 dia</v>
      </c>
      <c r="M286" s="23">
        <f>IFERROR(Consumo_Mensal!$F286*VLOOKUP(Consumo_Mensal!$E286,TBEstoque[[DESCRIÇÃO]:[VALOR UNIT. (R$)]],7,0), 0)</f>
        <v>35.362499999999997</v>
      </c>
    </row>
    <row r="287" spans="2:13" ht="16.8" hidden="1">
      <c r="B287" s="16" t="str">
        <f>"PED-" &amp; Consumo_Mensal!$H287 &amp; "-" &amp; TEXT(Consumo_Mensal!$J287, "ddmmaa")</f>
        <v>PED-Escritório Central - Sede-110226</v>
      </c>
      <c r="C287" s="15">
        <v>20881</v>
      </c>
      <c r="D287" s="16" t="s">
        <v>2</v>
      </c>
      <c r="E287" s="16" t="s">
        <v>50</v>
      </c>
      <c r="F287" s="16">
        <v>1</v>
      </c>
      <c r="G287" s="20" t="s">
        <v>186</v>
      </c>
      <c r="H287" s="16" t="s">
        <v>260</v>
      </c>
      <c r="I287" s="16" t="s">
        <v>271</v>
      </c>
      <c r="J287" s="18">
        <v>46064</v>
      </c>
      <c r="K287" s="18">
        <v>46065</v>
      </c>
      <c r="L287" s="19" t="str">
        <f>CONCATENATE(NETWORKDAYS(Consumo_Mensal!$J287, Consumo_Mensal!$K287)-1, " dia")</f>
        <v>1 dia</v>
      </c>
      <c r="M287" s="23">
        <f>IFERROR(Consumo_Mensal!$F287*VLOOKUP(Consumo_Mensal!$E287,TBEstoque[[DESCRIÇÃO]:[VALOR UNIT. (R$)]],7,0), 0)</f>
        <v>14.984499999999999</v>
      </c>
    </row>
    <row r="288" spans="2:13" ht="16.8" hidden="1">
      <c r="B288" s="16" t="str">
        <f>"PED-" &amp; Consumo_Mensal!$H288 &amp; "-" &amp; TEXT(Consumo_Mensal!$J288, "ddmmaa")</f>
        <v>PED-Escritório Central - Sede-110226</v>
      </c>
      <c r="C288" s="15">
        <v>20880</v>
      </c>
      <c r="D288" s="20" t="s">
        <v>2</v>
      </c>
      <c r="E288" s="20" t="s">
        <v>21</v>
      </c>
      <c r="F288" s="16">
        <v>1</v>
      </c>
      <c r="G288" s="20" t="s">
        <v>186</v>
      </c>
      <c r="H288" s="16" t="s">
        <v>260</v>
      </c>
      <c r="I288" s="16" t="s">
        <v>271</v>
      </c>
      <c r="J288" s="18">
        <v>46064</v>
      </c>
      <c r="K288" s="18">
        <v>46065</v>
      </c>
      <c r="L288" s="19" t="str">
        <f>CONCATENATE(NETWORKDAYS(Consumo_Mensal!$J288, Consumo_Mensal!$K288)-1, " dia")</f>
        <v>1 dia</v>
      </c>
      <c r="M288" s="23">
        <f>IFERROR(Consumo_Mensal!$F288*VLOOKUP(Consumo_Mensal!$E288,TBEstoque[[DESCRIÇÃO]:[VALOR UNIT. (R$)]],7,0), 0)</f>
        <v>9.1425000000000001</v>
      </c>
    </row>
    <row r="289" spans="2:13" ht="16.8" hidden="1">
      <c r="B289" s="16" t="str">
        <f>"PED-" &amp; Consumo_Mensal!$H289 &amp; "-" &amp; TEXT(Consumo_Mensal!$J289, "ddmmaa")</f>
        <v>PED-Escritório Central - Sede-110226</v>
      </c>
      <c r="C289" s="15">
        <v>20813</v>
      </c>
      <c r="D289" s="16" t="s">
        <v>2</v>
      </c>
      <c r="E289" s="16" t="s">
        <v>3</v>
      </c>
      <c r="F289" s="16">
        <v>1</v>
      </c>
      <c r="G289" s="16" t="s">
        <v>183</v>
      </c>
      <c r="H289" s="16" t="s">
        <v>260</v>
      </c>
      <c r="I289" s="16" t="s">
        <v>271</v>
      </c>
      <c r="J289" s="18">
        <v>46064</v>
      </c>
      <c r="K289" s="18">
        <v>46065</v>
      </c>
      <c r="L289" s="19" t="str">
        <f>CONCATENATE(NETWORKDAYS(Consumo_Mensal!$J289, Consumo_Mensal!$K289)-1, " dia")</f>
        <v>1 dia</v>
      </c>
      <c r="M289" s="23">
        <f>IFERROR(Consumo_Mensal!$F289*VLOOKUP(Consumo_Mensal!$E289,TBEstoque[[DESCRIÇÃO]:[VALOR UNIT. (R$)]],7,0), 0)</f>
        <v>136.5395</v>
      </c>
    </row>
    <row r="290" spans="2:13" ht="16.8" hidden="1">
      <c r="B290" s="16" t="str">
        <f>"PED-" &amp; Consumo_Mensal!$H290 &amp; "-" &amp; TEXT(Consumo_Mensal!$J290, "ddmmaa")</f>
        <v>PED-Escritório Central - Sede-110226</v>
      </c>
      <c r="C290" s="15">
        <v>20812</v>
      </c>
      <c r="D290" s="16" t="s">
        <v>2</v>
      </c>
      <c r="E290" s="16" t="s">
        <v>17</v>
      </c>
      <c r="F290" s="16">
        <v>1</v>
      </c>
      <c r="G290" s="16" t="s">
        <v>183</v>
      </c>
      <c r="H290" s="16" t="s">
        <v>260</v>
      </c>
      <c r="I290" s="16" t="s">
        <v>271</v>
      </c>
      <c r="J290" s="18">
        <v>46064</v>
      </c>
      <c r="K290" s="18">
        <v>46065</v>
      </c>
      <c r="L290" s="19" t="str">
        <f>CONCATENATE(NETWORKDAYS(Consumo_Mensal!$J290, Consumo_Mensal!$K290)-1, " dia")</f>
        <v>1 dia</v>
      </c>
      <c r="M290" s="23">
        <f>IFERROR(Consumo_Mensal!$F290*VLOOKUP(Consumo_Mensal!$E290,TBEstoque[[DESCRIÇÃO]:[VALOR UNIT. (R$)]],7,0), 0)</f>
        <v>150.29349999999999</v>
      </c>
    </row>
    <row r="291" spans="2:13" ht="16.8" hidden="1">
      <c r="B291" s="16" t="str">
        <f>"PED-" &amp; Consumo_Mensal!$H291 &amp; "-" &amp; TEXT(Consumo_Mensal!$J291, "ddmmaa")</f>
        <v>PED-Escritório Central - Sede-110226</v>
      </c>
      <c r="C291" s="15">
        <v>20879</v>
      </c>
      <c r="D291" s="16" t="s">
        <v>2</v>
      </c>
      <c r="E291" s="16" t="s">
        <v>51</v>
      </c>
      <c r="F291" s="16">
        <v>1</v>
      </c>
      <c r="G291" s="16" t="s">
        <v>191</v>
      </c>
      <c r="H291" s="16" t="s">
        <v>260</v>
      </c>
      <c r="I291" s="16" t="s">
        <v>271</v>
      </c>
      <c r="J291" s="18">
        <v>46064</v>
      </c>
      <c r="K291" s="18">
        <v>46065</v>
      </c>
      <c r="L291" s="19" t="str">
        <f>CONCATENATE(NETWORKDAYS(Consumo_Mensal!$J291, Consumo_Mensal!$K291)-1, " dia")</f>
        <v>1 dia</v>
      </c>
      <c r="M291" s="23">
        <f>IFERROR(Consumo_Mensal!$F291*VLOOKUP(Consumo_Mensal!$E291,TBEstoque[[DESCRIÇÃO]:[VALOR UNIT. (R$)]],7,0), 0)</f>
        <v>34.5</v>
      </c>
    </row>
    <row r="292" spans="2:13" ht="16.8" hidden="1">
      <c r="B292" s="16" t="str">
        <f>"PED-" &amp; Consumo_Mensal!$H292 &amp; "-" &amp; TEXT(Consumo_Mensal!$J292, "ddmmaa")</f>
        <v>PED-Escritório Central - Sede-110226</v>
      </c>
      <c r="C292" s="15">
        <v>20877</v>
      </c>
      <c r="D292" s="16" t="s">
        <v>2</v>
      </c>
      <c r="E292" s="16" t="s">
        <v>52</v>
      </c>
      <c r="F292" s="16">
        <v>2</v>
      </c>
      <c r="G292" s="16" t="s">
        <v>191</v>
      </c>
      <c r="H292" s="16" t="s">
        <v>260</v>
      </c>
      <c r="I292" s="16" t="s">
        <v>271</v>
      </c>
      <c r="J292" s="18">
        <v>46064</v>
      </c>
      <c r="K292" s="18">
        <v>46065</v>
      </c>
      <c r="L292" s="19" t="str">
        <f>CONCATENATE(NETWORKDAYS(Consumo_Mensal!$J292, Consumo_Mensal!$K292)-1, " dia")</f>
        <v>1 dia</v>
      </c>
      <c r="M292" s="23">
        <f>IFERROR(Consumo_Mensal!$F292*VLOOKUP(Consumo_Mensal!$E292,TBEstoque[[DESCRIÇÃO]:[VALOR UNIT. (R$)]],7,0), 0)</f>
        <v>48.3</v>
      </c>
    </row>
    <row r="293" spans="2:13" ht="16.8" hidden="1">
      <c r="B293" s="16" t="str">
        <f>"PED-" &amp; Consumo_Mensal!$H293 &amp; "-" &amp; TEXT(Consumo_Mensal!$J293, "ddmmaa")</f>
        <v>PED-CD Logística - Regional ABC-130226</v>
      </c>
      <c r="C293" s="15">
        <v>20813</v>
      </c>
      <c r="D293" s="16" t="s">
        <v>2</v>
      </c>
      <c r="E293" s="16" t="s">
        <v>3</v>
      </c>
      <c r="F293" s="16">
        <v>1</v>
      </c>
      <c r="G293" s="16" t="s">
        <v>183</v>
      </c>
      <c r="H293" s="16" t="s">
        <v>255</v>
      </c>
      <c r="I293" s="16" t="s">
        <v>265</v>
      </c>
      <c r="J293" s="18">
        <v>46066</v>
      </c>
      <c r="K293" s="18">
        <v>46069</v>
      </c>
      <c r="L293" s="19" t="str">
        <f>CONCATENATE(NETWORKDAYS(Consumo_Mensal!$J293, Consumo_Mensal!$K293)-1, " dia")</f>
        <v>1 dia</v>
      </c>
      <c r="M293" s="23">
        <f>IFERROR(Consumo_Mensal!$F293*VLOOKUP(Consumo_Mensal!$E293,TBEstoque[[DESCRIÇÃO]:[VALOR UNIT. (R$)]],7,0), 0)</f>
        <v>136.5395</v>
      </c>
    </row>
    <row r="294" spans="2:13" ht="16.8" hidden="1">
      <c r="B294" s="16" t="str">
        <f>"PED-" &amp; Consumo_Mensal!$H294 &amp; "-" &amp; TEXT(Consumo_Mensal!$J294, "ddmmaa")</f>
        <v>PED-CD Logística - Regional ABC-130226</v>
      </c>
      <c r="C294" s="15">
        <v>20812</v>
      </c>
      <c r="D294" s="16" t="s">
        <v>2</v>
      </c>
      <c r="E294" s="16" t="s">
        <v>17</v>
      </c>
      <c r="F294" s="16">
        <v>1</v>
      </c>
      <c r="G294" s="16" t="s">
        <v>183</v>
      </c>
      <c r="H294" s="16" t="s">
        <v>255</v>
      </c>
      <c r="I294" s="16" t="s">
        <v>265</v>
      </c>
      <c r="J294" s="18">
        <v>46066</v>
      </c>
      <c r="K294" s="18">
        <v>46069</v>
      </c>
      <c r="L294" s="19" t="str">
        <f>CONCATENATE(NETWORKDAYS(Consumo_Mensal!$J294, Consumo_Mensal!$K294)-1, " dia")</f>
        <v>1 dia</v>
      </c>
      <c r="M294" s="23">
        <f>IFERROR(Consumo_Mensal!$F294*VLOOKUP(Consumo_Mensal!$E294,TBEstoque[[DESCRIÇÃO]:[VALOR UNIT. (R$)]],7,0), 0)</f>
        <v>150.29349999999999</v>
      </c>
    </row>
    <row r="295" spans="2:13" ht="16.8" hidden="1">
      <c r="B295" s="16" t="str">
        <f>"PED-" &amp; Consumo_Mensal!$H295 &amp; "-" &amp; TEXT(Consumo_Mensal!$J295, "ddmmaa")</f>
        <v>PED-CD Logística - Regional ABC-130226</v>
      </c>
      <c r="C295" s="15">
        <v>20867</v>
      </c>
      <c r="D295" s="16" t="s">
        <v>2</v>
      </c>
      <c r="E295" s="16" t="s">
        <v>19</v>
      </c>
      <c r="F295" s="16">
        <v>4</v>
      </c>
      <c r="G295" s="20" t="s">
        <v>186</v>
      </c>
      <c r="H295" s="16" t="s">
        <v>255</v>
      </c>
      <c r="I295" s="16" t="s">
        <v>265</v>
      </c>
      <c r="J295" s="18">
        <v>46066</v>
      </c>
      <c r="K295" s="18">
        <v>46069</v>
      </c>
      <c r="L295" s="19" t="str">
        <f>CONCATENATE(NETWORKDAYS(Consumo_Mensal!$J295, Consumo_Mensal!$K295)-1, " dia")</f>
        <v>1 dia</v>
      </c>
      <c r="M295" s="23">
        <f>IFERROR(Consumo_Mensal!$F295*VLOOKUP(Consumo_Mensal!$E295,TBEstoque[[DESCRIÇÃO]:[VALOR UNIT. (R$)]],7,0), 0)</f>
        <v>7.6359999999999992</v>
      </c>
    </row>
    <row r="296" spans="2:13" ht="16.8" hidden="1">
      <c r="B296" s="16" t="str">
        <f>"PED-" &amp; Consumo_Mensal!$H296 &amp; "-" &amp; TEXT(Consumo_Mensal!$J296, "ddmmaa")</f>
        <v>PED-CD Logística - Regional ABC-130226</v>
      </c>
      <c r="C296" s="15">
        <v>20847</v>
      </c>
      <c r="D296" s="16" t="s">
        <v>2</v>
      </c>
      <c r="E296" s="16" t="s">
        <v>6</v>
      </c>
      <c r="F296" s="16">
        <v>3</v>
      </c>
      <c r="G296" s="16" t="s">
        <v>184</v>
      </c>
      <c r="H296" s="16" t="s">
        <v>255</v>
      </c>
      <c r="I296" s="16" t="s">
        <v>265</v>
      </c>
      <c r="J296" s="18">
        <v>46066</v>
      </c>
      <c r="K296" s="18">
        <v>46069</v>
      </c>
      <c r="L296" s="19" t="str">
        <f>CONCATENATE(NETWORKDAYS(Consumo_Mensal!$J296, Consumo_Mensal!$K296)-1, " dia")</f>
        <v>1 dia</v>
      </c>
      <c r="M296" s="23">
        <f>IFERROR(Consumo_Mensal!$F296*VLOOKUP(Consumo_Mensal!$E296,TBEstoque[[DESCRIÇÃO]:[VALOR UNIT. (R$)]],7,0), 0)</f>
        <v>74.52</v>
      </c>
    </row>
    <row r="297" spans="2:13" ht="16.8" hidden="1">
      <c r="B297" s="16" t="str">
        <f>"PED-" &amp; Consumo_Mensal!$H297 &amp; "-" &amp; TEXT(Consumo_Mensal!$J297, "ddmmaa")</f>
        <v>PED-CD Logística - Regional ABC-130226</v>
      </c>
      <c r="C297" s="15">
        <v>20852</v>
      </c>
      <c r="D297" s="16" t="s">
        <v>2</v>
      </c>
      <c r="E297" s="16" t="s">
        <v>43</v>
      </c>
      <c r="F297" s="16">
        <v>5</v>
      </c>
      <c r="G297" s="20" t="s">
        <v>186</v>
      </c>
      <c r="H297" s="16" t="s">
        <v>255</v>
      </c>
      <c r="I297" s="16" t="s">
        <v>265</v>
      </c>
      <c r="J297" s="18">
        <v>46066</v>
      </c>
      <c r="K297" s="18">
        <v>46069</v>
      </c>
      <c r="L297" s="19" t="str">
        <f>CONCATENATE(NETWORKDAYS(Consumo_Mensal!$J297, Consumo_Mensal!$K297)-1, " dia")</f>
        <v>1 dia</v>
      </c>
      <c r="M297" s="23">
        <f>IFERROR(Consumo_Mensal!$F297*VLOOKUP(Consumo_Mensal!$E297,TBEstoque[[DESCRIÇÃO]:[VALOR UNIT. (R$)]],7,0), 0)</f>
        <v>14.95</v>
      </c>
    </row>
    <row r="298" spans="2:13" ht="16.8" hidden="1">
      <c r="B298" s="20" t="str">
        <f>"PED-" &amp; Consumo_Mensal!$H298 &amp; "-" &amp; TEXT(Consumo_Mensal!$J298, "ddmmaa")</f>
        <v>PED-Escritório Apoio - Gestão-180226</v>
      </c>
      <c r="C298" s="15">
        <v>20813</v>
      </c>
      <c r="D298" s="20" t="s">
        <v>2</v>
      </c>
      <c r="E298" s="20" t="s">
        <v>3</v>
      </c>
      <c r="F298" s="20">
        <v>5</v>
      </c>
      <c r="G298" s="16" t="s">
        <v>183</v>
      </c>
      <c r="H298" s="16" t="s">
        <v>261</v>
      </c>
      <c r="I298" s="16" t="s">
        <v>272</v>
      </c>
      <c r="J298" s="21">
        <v>46071</v>
      </c>
      <c r="K298" s="18">
        <v>46072</v>
      </c>
      <c r="L298" s="19" t="str">
        <f>CONCATENATE(NETWORKDAYS(Consumo_Mensal!$J298, Consumo_Mensal!$K298)-1, " dia")</f>
        <v>1 dia</v>
      </c>
      <c r="M298" s="23">
        <f>IFERROR(Consumo_Mensal!$F298*VLOOKUP(Consumo_Mensal!$E298,TBEstoque[[DESCRIÇÃO]:[VALOR UNIT. (R$)]],7,0), 0)</f>
        <v>682.69749999999999</v>
      </c>
    </row>
    <row r="299" spans="2:13" ht="16.8" hidden="1">
      <c r="B299" s="20" t="str">
        <f>"PED-" &amp; Consumo_Mensal!$H299 &amp; "-" &amp; TEXT(Consumo_Mensal!$J299, "ddmmaa")</f>
        <v>PED-Escritório Apoio - Gestão-180226</v>
      </c>
      <c r="C299" s="15">
        <v>20876</v>
      </c>
      <c r="D299" s="20" t="s">
        <v>2</v>
      </c>
      <c r="E299" s="20" t="s">
        <v>46</v>
      </c>
      <c r="F299" s="20">
        <v>2</v>
      </c>
      <c r="G299" s="16" t="s">
        <v>191</v>
      </c>
      <c r="H299" s="16" t="s">
        <v>261</v>
      </c>
      <c r="I299" s="16" t="s">
        <v>272</v>
      </c>
      <c r="J299" s="21">
        <v>46071</v>
      </c>
      <c r="K299" s="18">
        <v>46072</v>
      </c>
      <c r="L299" s="19" t="str">
        <f>CONCATENATE(NETWORKDAYS(Consumo_Mensal!$J299, Consumo_Mensal!$K299)-1, " dia")</f>
        <v>1 dia</v>
      </c>
      <c r="M299" s="23">
        <f>IFERROR(Consumo_Mensal!$F299*VLOOKUP(Consumo_Mensal!$E299,TBEstoque[[DESCRIÇÃO]:[VALOR UNIT. (R$)]],7,0), 0)</f>
        <v>134.54999999999998</v>
      </c>
    </row>
    <row r="300" spans="2:13" ht="16.8" hidden="1">
      <c r="B300" s="20" t="str">
        <f>"PED-" &amp; Consumo_Mensal!$H300 &amp; "-" &amp; TEXT(Consumo_Mensal!$J300, "ddmmaa")</f>
        <v>PED-Escritório Apoio - Gestão-180226</v>
      </c>
      <c r="C300" s="15">
        <v>20879</v>
      </c>
      <c r="D300" s="20" t="s">
        <v>2</v>
      </c>
      <c r="E300" s="20" t="s">
        <v>51</v>
      </c>
      <c r="F300" s="20">
        <v>2</v>
      </c>
      <c r="G300" s="16" t="s">
        <v>191</v>
      </c>
      <c r="H300" s="16" t="s">
        <v>261</v>
      </c>
      <c r="I300" s="16" t="s">
        <v>272</v>
      </c>
      <c r="J300" s="21">
        <v>46071</v>
      </c>
      <c r="K300" s="18">
        <v>46072</v>
      </c>
      <c r="L300" s="19" t="str">
        <f>CONCATENATE(NETWORKDAYS(Consumo_Mensal!$J300, Consumo_Mensal!$K300)-1, " dia")</f>
        <v>1 dia</v>
      </c>
      <c r="M300" s="23">
        <f>IFERROR(Consumo_Mensal!$F300*VLOOKUP(Consumo_Mensal!$E300,TBEstoque[[DESCRIÇÃO]:[VALOR UNIT. (R$)]],7,0), 0)</f>
        <v>69</v>
      </c>
    </row>
    <row r="301" spans="2:13" ht="16.8" hidden="1">
      <c r="B301" s="20" t="str">
        <f>"PED-" &amp; Consumo_Mensal!$H301 &amp; "-" &amp; TEXT(Consumo_Mensal!$J301, "ddmmaa")</f>
        <v>PED-Escritório Apoio - Gestão-180226</v>
      </c>
      <c r="C301" s="15">
        <v>20877</v>
      </c>
      <c r="D301" s="20" t="s">
        <v>2</v>
      </c>
      <c r="E301" s="20" t="s">
        <v>52</v>
      </c>
      <c r="F301" s="20">
        <v>2</v>
      </c>
      <c r="G301" s="16" t="s">
        <v>191</v>
      </c>
      <c r="H301" s="16" t="s">
        <v>261</v>
      </c>
      <c r="I301" s="16" t="s">
        <v>272</v>
      </c>
      <c r="J301" s="21">
        <v>46071</v>
      </c>
      <c r="K301" s="18">
        <v>46072</v>
      </c>
      <c r="L301" s="19" t="str">
        <f>CONCATENATE(NETWORKDAYS(Consumo_Mensal!$J301, Consumo_Mensal!$K301)-1, " dia")</f>
        <v>1 dia</v>
      </c>
      <c r="M301" s="23">
        <f>IFERROR(Consumo_Mensal!$F301*VLOOKUP(Consumo_Mensal!$E301,TBEstoque[[DESCRIÇÃO]:[VALOR UNIT. (R$)]],7,0), 0)</f>
        <v>48.3</v>
      </c>
    </row>
    <row r="302" spans="2:13" ht="16.8" hidden="1">
      <c r="B302" s="20" t="str">
        <f>"PED-" &amp; Consumo_Mensal!$H302 &amp; "-" &amp; TEXT(Consumo_Mensal!$J302, "ddmmaa")</f>
        <v>PED-Escritório Apoio - Gestão-180226</v>
      </c>
      <c r="C302" s="15">
        <v>20812</v>
      </c>
      <c r="D302" s="20" t="s">
        <v>2</v>
      </c>
      <c r="E302" s="20" t="s">
        <v>17</v>
      </c>
      <c r="F302" s="20">
        <v>5</v>
      </c>
      <c r="G302" s="16" t="s">
        <v>183</v>
      </c>
      <c r="H302" s="16" t="s">
        <v>261</v>
      </c>
      <c r="I302" s="16" t="s">
        <v>272</v>
      </c>
      <c r="J302" s="21">
        <v>46071</v>
      </c>
      <c r="K302" s="18">
        <v>46072</v>
      </c>
      <c r="L302" s="19" t="str">
        <f>CONCATENATE(NETWORKDAYS(Consumo_Mensal!$J302, Consumo_Mensal!$K302)-1, " dia")</f>
        <v>1 dia</v>
      </c>
      <c r="M302" s="23">
        <f>IFERROR(Consumo_Mensal!$F302*VLOOKUP(Consumo_Mensal!$E302,TBEstoque[[DESCRIÇÃO]:[VALOR UNIT. (R$)]],7,0), 0)</f>
        <v>751.46749999999997</v>
      </c>
    </row>
    <row r="303" spans="2:13" ht="16.8">
      <c r="B303" s="16" t="str">
        <f>"PED-" &amp; Consumo_Mensal!$H303 &amp; "-" &amp; TEXT(Consumo_Mensal!$J303, "ddmmaa")</f>
        <v>PED-Planta Industrial - Suprimentos-190226</v>
      </c>
      <c r="C303" s="15">
        <v>20848</v>
      </c>
      <c r="D303" s="16" t="s">
        <v>2</v>
      </c>
      <c r="E303" s="16" t="s">
        <v>7</v>
      </c>
      <c r="F303" s="16">
        <v>1</v>
      </c>
      <c r="G303" s="16" t="s">
        <v>184</v>
      </c>
      <c r="H303" s="16" t="s">
        <v>258</v>
      </c>
      <c r="I303" s="16" t="s">
        <v>280</v>
      </c>
      <c r="J303" s="18">
        <v>46072</v>
      </c>
      <c r="K303" s="18">
        <v>46073</v>
      </c>
      <c r="L303" s="19" t="str">
        <f>CONCATENATE(NETWORKDAYS(Consumo_Mensal!$J303, Consumo_Mensal!$K303)-1, " dia")</f>
        <v>1 dia</v>
      </c>
      <c r="M303" s="23">
        <f>IFERROR(Consumo_Mensal!$F303*VLOOKUP(Consumo_Mensal!$E303,TBEstoque[[DESCRIÇÃO]:[VALOR UNIT. (R$)]],7,0), 0)</f>
        <v>48.93249999999999</v>
      </c>
    </row>
    <row r="304" spans="2:13" ht="16.8">
      <c r="B304" s="16" t="str">
        <f>"PED-" &amp; Consumo_Mensal!$H304 &amp; "-" &amp; TEXT(Consumo_Mensal!$J304, "ddmmaa")</f>
        <v>PED-Planta Industrial - Suprimentos-190226</v>
      </c>
      <c r="C304" s="15">
        <v>20851</v>
      </c>
      <c r="D304" s="16" t="s">
        <v>2</v>
      </c>
      <c r="E304" s="16" t="s">
        <v>13</v>
      </c>
      <c r="F304" s="16">
        <v>10</v>
      </c>
      <c r="G304" s="20" t="s">
        <v>186</v>
      </c>
      <c r="H304" s="16" t="s">
        <v>258</v>
      </c>
      <c r="I304" s="16" t="s">
        <v>280</v>
      </c>
      <c r="J304" s="18">
        <v>46072</v>
      </c>
      <c r="K304" s="18">
        <v>46073</v>
      </c>
      <c r="L304" s="19" t="str">
        <f>CONCATENATE(NETWORKDAYS(Consumo_Mensal!$J304, Consumo_Mensal!$K304)-1, " dia")</f>
        <v>1 dia</v>
      </c>
      <c r="M304" s="23">
        <f>IFERROR(Consumo_Mensal!$F304*VLOOKUP(Consumo_Mensal!$E304,TBEstoque[[DESCRIÇÃO]:[VALOR UNIT. (R$)]],7,0), 0)</f>
        <v>19.549999999999997</v>
      </c>
    </row>
    <row r="305" spans="2:13" ht="16.8">
      <c r="B305" s="16" t="str">
        <f>"PED-" &amp; Consumo_Mensal!$H305 &amp; "-" &amp; TEXT(Consumo_Mensal!$J305, "ddmmaa")</f>
        <v>PED-Planta Industrial - Suprimentos-190226</v>
      </c>
      <c r="C305" s="15">
        <v>20853</v>
      </c>
      <c r="D305" s="16" t="s">
        <v>2</v>
      </c>
      <c r="E305" s="16" t="s">
        <v>44</v>
      </c>
      <c r="F305" s="16">
        <v>1</v>
      </c>
      <c r="G305" s="20" t="s">
        <v>186</v>
      </c>
      <c r="H305" s="16" t="s">
        <v>258</v>
      </c>
      <c r="I305" s="16" t="s">
        <v>280</v>
      </c>
      <c r="J305" s="18">
        <v>46072</v>
      </c>
      <c r="K305" s="18">
        <v>46073</v>
      </c>
      <c r="L305" s="19" t="str">
        <f>CONCATENATE(NETWORKDAYS(Consumo_Mensal!$J305, Consumo_Mensal!$K305)-1, " dia")</f>
        <v>1 dia</v>
      </c>
      <c r="M305" s="23">
        <f>IFERROR(Consumo_Mensal!$F305*VLOOKUP(Consumo_Mensal!$E305,TBEstoque[[DESCRIÇÃO]:[VALOR UNIT. (R$)]],7,0), 0)</f>
        <v>32.602499999999999</v>
      </c>
    </row>
    <row r="306" spans="2:13" ht="16.8">
      <c r="B306" s="16" t="str">
        <f>"PED-" &amp; Consumo_Mensal!$H306 &amp; "-" &amp; TEXT(Consumo_Mensal!$J306, "ddmmaa")</f>
        <v>PED-Planta Industrial - Suprimentos-190226</v>
      </c>
      <c r="C306" s="15">
        <v>20812</v>
      </c>
      <c r="D306" s="16" t="s">
        <v>2</v>
      </c>
      <c r="E306" s="16" t="s">
        <v>17</v>
      </c>
      <c r="F306" s="16">
        <v>2</v>
      </c>
      <c r="G306" s="16" t="s">
        <v>183</v>
      </c>
      <c r="H306" s="16" t="s">
        <v>258</v>
      </c>
      <c r="I306" s="16" t="s">
        <v>280</v>
      </c>
      <c r="J306" s="18">
        <v>46072</v>
      </c>
      <c r="K306" s="18">
        <v>46073</v>
      </c>
      <c r="L306" s="19" t="str">
        <f>CONCATENATE(NETWORKDAYS(Consumo_Mensal!$J306, Consumo_Mensal!$K306)-1, " dia")</f>
        <v>1 dia</v>
      </c>
      <c r="M306" s="23">
        <f>IFERROR(Consumo_Mensal!$F306*VLOOKUP(Consumo_Mensal!$E306,TBEstoque[[DESCRIÇÃO]:[VALOR UNIT. (R$)]],7,0), 0)</f>
        <v>300.58699999999999</v>
      </c>
    </row>
    <row r="307" spans="2:13" ht="16.8">
      <c r="B307" s="16" t="str">
        <f>"PED-" &amp; Consumo_Mensal!$H307 &amp; "-" &amp; TEXT(Consumo_Mensal!$J307, "ddmmaa")</f>
        <v>PED-Planta Industrial - Suprimentos-190226</v>
      </c>
      <c r="C307" s="15">
        <v>20866</v>
      </c>
      <c r="D307" s="16" t="s">
        <v>2</v>
      </c>
      <c r="E307" s="16" t="s">
        <v>18</v>
      </c>
      <c r="F307" s="16">
        <v>2</v>
      </c>
      <c r="G307" s="16" t="s">
        <v>183</v>
      </c>
      <c r="H307" s="16" t="s">
        <v>258</v>
      </c>
      <c r="I307" s="16" t="s">
        <v>280</v>
      </c>
      <c r="J307" s="18">
        <v>46072</v>
      </c>
      <c r="K307" s="18">
        <v>46073</v>
      </c>
      <c r="L307" s="19" t="str">
        <f>CONCATENATE(NETWORKDAYS(Consumo_Mensal!$J307, Consumo_Mensal!$K307)-1, " dia")</f>
        <v>1 dia</v>
      </c>
      <c r="M307" s="23">
        <f>IFERROR(Consumo_Mensal!$F307*VLOOKUP(Consumo_Mensal!$E307,TBEstoque[[DESCRIÇÃO]:[VALOR UNIT. (R$)]],7,0), 0)</f>
        <v>116.65599999999999</v>
      </c>
    </row>
    <row r="308" spans="2:13" ht="16.8">
      <c r="B308" s="16" t="str">
        <f>"PED-" &amp; Consumo_Mensal!$H308 &amp; "-" &amp; TEXT(Consumo_Mensal!$J308, "ddmmaa")</f>
        <v>PED-Planta Industrial - Suprimentos-190226</v>
      </c>
      <c r="C308" s="15">
        <v>20813</v>
      </c>
      <c r="D308" s="16" t="s">
        <v>2</v>
      </c>
      <c r="E308" s="16" t="s">
        <v>3</v>
      </c>
      <c r="F308" s="16">
        <v>2</v>
      </c>
      <c r="G308" s="16" t="s">
        <v>183</v>
      </c>
      <c r="H308" s="16" t="s">
        <v>258</v>
      </c>
      <c r="I308" s="16" t="s">
        <v>280</v>
      </c>
      <c r="J308" s="18">
        <v>46072</v>
      </c>
      <c r="K308" s="18">
        <v>46073</v>
      </c>
      <c r="L308" s="19" t="str">
        <f>CONCATENATE(NETWORKDAYS(Consumo_Mensal!$J308, Consumo_Mensal!$K308)-1, " dia")</f>
        <v>1 dia</v>
      </c>
      <c r="M308" s="23">
        <f>IFERROR(Consumo_Mensal!$F308*VLOOKUP(Consumo_Mensal!$E308,TBEstoque[[DESCRIÇÃO]:[VALOR UNIT. (R$)]],7,0), 0)</f>
        <v>273.07900000000001</v>
      </c>
    </row>
    <row r="309" spans="2:13" ht="16.8">
      <c r="B309" s="16" t="str">
        <f>"PED-" &amp; Consumo_Mensal!$H309 &amp; "-" &amp; TEXT(Consumo_Mensal!$J309, "ddmmaa")</f>
        <v>PED-Planta Industrial - Suprimentos-190226</v>
      </c>
      <c r="C309" s="15">
        <v>20869</v>
      </c>
      <c r="D309" s="16" t="s">
        <v>2</v>
      </c>
      <c r="E309" s="16" t="s">
        <v>38</v>
      </c>
      <c r="F309" s="16">
        <v>1</v>
      </c>
      <c r="G309" s="16" t="s">
        <v>183</v>
      </c>
      <c r="H309" s="16" t="s">
        <v>258</v>
      </c>
      <c r="I309" s="16" t="s">
        <v>280</v>
      </c>
      <c r="J309" s="18">
        <v>46072</v>
      </c>
      <c r="K309" s="18">
        <v>46073</v>
      </c>
      <c r="L309" s="19" t="str">
        <f>CONCATENATE(NETWORKDAYS(Consumo_Mensal!$J309, Consumo_Mensal!$K309)-1, " dia")</f>
        <v>1 dia</v>
      </c>
      <c r="M309" s="23">
        <f>IFERROR(Consumo_Mensal!$F309*VLOOKUP(Consumo_Mensal!$E309,TBEstoque[[DESCRIÇÃO]:[VALOR UNIT. (R$)]],7,0), 0)</f>
        <v>15.352499999999999</v>
      </c>
    </row>
    <row r="310" spans="2:13" ht="16.8">
      <c r="B310" s="16" t="str">
        <f>"PED-" &amp; Consumo_Mensal!$H310 &amp; "-" &amp; TEXT(Consumo_Mensal!$J310, "ddmmaa")</f>
        <v>PED-Planta Industrial - Suprimentos-190226</v>
      </c>
      <c r="C310" s="15">
        <v>20871</v>
      </c>
      <c r="D310" s="16" t="s">
        <v>2</v>
      </c>
      <c r="E310" s="13" t="s">
        <v>124</v>
      </c>
      <c r="F310" s="16">
        <v>1</v>
      </c>
      <c r="G310" s="16" t="s">
        <v>184</v>
      </c>
      <c r="H310" s="16" t="s">
        <v>258</v>
      </c>
      <c r="I310" s="16" t="s">
        <v>280</v>
      </c>
      <c r="J310" s="18">
        <v>46072</v>
      </c>
      <c r="K310" s="18">
        <v>46073</v>
      </c>
      <c r="L310" s="19" t="str">
        <f>CONCATENATE(NETWORKDAYS(Consumo_Mensal!$J310, Consumo_Mensal!$K310)-1, " dia")</f>
        <v>1 dia</v>
      </c>
      <c r="M310" s="23">
        <f>IFERROR(Consumo_Mensal!$F310*VLOOKUP(Consumo_Mensal!$E310,TBEstoque[[DESCRIÇÃO]:[VALOR UNIT. (R$)]],7,0), 0)</f>
        <v>38.64</v>
      </c>
    </row>
    <row r="311" spans="2:13" ht="16.8">
      <c r="B311" s="16" t="str">
        <f>"PED-" &amp; Consumo_Mensal!$H311 &amp; "-" &amp; TEXT(Consumo_Mensal!$J311, "ddmmaa")</f>
        <v>PED-Planta Industrial - Suprimentos-190226</v>
      </c>
      <c r="C311" s="15">
        <v>20862</v>
      </c>
      <c r="D311" s="16" t="s">
        <v>2</v>
      </c>
      <c r="E311" s="16" t="s">
        <v>48</v>
      </c>
      <c r="F311" s="16">
        <v>10</v>
      </c>
      <c r="G311" s="20" t="s">
        <v>186</v>
      </c>
      <c r="H311" s="16" t="s">
        <v>258</v>
      </c>
      <c r="I311" s="16" t="s">
        <v>280</v>
      </c>
      <c r="J311" s="18">
        <v>46072</v>
      </c>
      <c r="K311" s="18">
        <v>46073</v>
      </c>
      <c r="L311" s="19" t="str">
        <f>CONCATENATE(NETWORKDAYS(Consumo_Mensal!$J311, Consumo_Mensal!$K311)-1, " dia")</f>
        <v>1 dia</v>
      </c>
      <c r="M311" s="23">
        <f>IFERROR(Consumo_Mensal!$F311*VLOOKUP(Consumo_Mensal!$E311,TBEstoque[[DESCRIÇÃO]:[VALOR UNIT. (R$)]],7,0), 0)</f>
        <v>60.26</v>
      </c>
    </row>
    <row r="312" spans="2:13" ht="16.8">
      <c r="B312" s="16" t="str">
        <f>"PED-" &amp; Consumo_Mensal!$H312 &amp; "-" &amp; TEXT(Consumo_Mensal!$J312, "ddmmaa")</f>
        <v>PED-Planta Industrial - Suprimentos-190226</v>
      </c>
      <c r="C312" s="15">
        <v>20878</v>
      </c>
      <c r="D312" s="16" t="s">
        <v>2</v>
      </c>
      <c r="E312" s="16" t="s">
        <v>65</v>
      </c>
      <c r="F312" s="16">
        <v>2</v>
      </c>
      <c r="G312" s="16" t="s">
        <v>191</v>
      </c>
      <c r="H312" s="16" t="s">
        <v>258</v>
      </c>
      <c r="I312" s="16" t="s">
        <v>280</v>
      </c>
      <c r="J312" s="18">
        <v>46072</v>
      </c>
      <c r="K312" s="18">
        <v>46073</v>
      </c>
      <c r="L312" s="19" t="str">
        <f>CONCATENATE(NETWORKDAYS(Consumo_Mensal!$J312, Consumo_Mensal!$K312)-1, " dia")</f>
        <v>1 dia</v>
      </c>
      <c r="M312" s="23">
        <f>IFERROR(Consumo_Mensal!$F312*VLOOKUP(Consumo_Mensal!$E312,TBEstoque[[DESCRIÇÃO]:[VALOR UNIT. (R$)]],7,0), 0)</f>
        <v>69</v>
      </c>
    </row>
    <row r="313" spans="2:13" ht="16.8" hidden="1">
      <c r="B313" s="20" t="str">
        <f>"PED-" &amp; Consumo_Mensal!$H313 &amp; "-" &amp; TEXT(Consumo_Mensal!$J313, "ddmmaa")</f>
        <v>PED-Farmácia Satélite - Unidade 02-200226</v>
      </c>
      <c r="C313" s="15">
        <v>20866</v>
      </c>
      <c r="D313" s="20" t="s">
        <v>2</v>
      </c>
      <c r="E313" s="20" t="s">
        <v>18</v>
      </c>
      <c r="F313" s="20">
        <v>2</v>
      </c>
      <c r="G313" s="16" t="s">
        <v>183</v>
      </c>
      <c r="H313" s="16" t="s">
        <v>256</v>
      </c>
      <c r="I313" s="16" t="s">
        <v>267</v>
      </c>
      <c r="J313" s="21">
        <v>46073</v>
      </c>
      <c r="K313" s="21">
        <v>46076</v>
      </c>
      <c r="L313" s="19" t="str">
        <f>CONCATENATE(NETWORKDAYS(Consumo_Mensal!$J313, Consumo_Mensal!$K313)-1, " dia")</f>
        <v>1 dia</v>
      </c>
      <c r="M313" s="23">
        <f>IFERROR(Consumo_Mensal!$F313*VLOOKUP(Consumo_Mensal!$E313,TBEstoque[[DESCRIÇÃO]:[VALOR UNIT. (R$)]],7,0), 0)</f>
        <v>116.65599999999999</v>
      </c>
    </row>
    <row r="314" spans="2:13" ht="16.8" hidden="1">
      <c r="B314" s="20" t="str">
        <f>"PED-" &amp; Consumo_Mensal!$H314 &amp; "-" &amp; TEXT(Consumo_Mensal!$J314, "ddmmaa")</f>
        <v>PED-Farmácia Satélite - Unidade 02-200226</v>
      </c>
      <c r="C314" s="15">
        <v>20812</v>
      </c>
      <c r="D314" s="20" t="s">
        <v>2</v>
      </c>
      <c r="E314" s="20" t="s">
        <v>17</v>
      </c>
      <c r="F314" s="20">
        <v>1</v>
      </c>
      <c r="G314" s="16" t="s">
        <v>183</v>
      </c>
      <c r="H314" s="16" t="s">
        <v>256</v>
      </c>
      <c r="I314" s="16" t="s">
        <v>267</v>
      </c>
      <c r="J314" s="21">
        <v>46073</v>
      </c>
      <c r="K314" s="21">
        <v>46076</v>
      </c>
      <c r="L314" s="19" t="str">
        <f>CONCATENATE(NETWORKDAYS(Consumo_Mensal!$J314, Consumo_Mensal!$K314)-1, " dia")</f>
        <v>1 dia</v>
      </c>
      <c r="M314" s="23">
        <f>IFERROR(Consumo_Mensal!$F314*VLOOKUP(Consumo_Mensal!$E314,TBEstoque[[DESCRIÇÃO]:[VALOR UNIT. (R$)]],7,0), 0)</f>
        <v>150.29349999999999</v>
      </c>
    </row>
    <row r="315" spans="2:13" ht="16.8" hidden="1">
      <c r="B315" s="20" t="str">
        <f>"PED-" &amp; Consumo_Mensal!$H315 &amp; "-" &amp; TEXT(Consumo_Mensal!$J315, "ddmmaa")</f>
        <v>PED-Farmácia Satélite - Unidade 02-200226</v>
      </c>
      <c r="C315" s="15">
        <v>20880</v>
      </c>
      <c r="D315" s="20" t="s">
        <v>2</v>
      </c>
      <c r="E315" s="20" t="s">
        <v>21</v>
      </c>
      <c r="F315" s="20">
        <v>1</v>
      </c>
      <c r="G315" s="20" t="s">
        <v>186</v>
      </c>
      <c r="H315" s="16" t="s">
        <v>256</v>
      </c>
      <c r="I315" s="16" t="s">
        <v>267</v>
      </c>
      <c r="J315" s="21">
        <v>46073</v>
      </c>
      <c r="K315" s="21">
        <v>46076</v>
      </c>
      <c r="L315" s="19" t="str">
        <f>CONCATENATE(NETWORKDAYS(Consumo_Mensal!$J315, Consumo_Mensal!$K315)-1, " dia")</f>
        <v>1 dia</v>
      </c>
      <c r="M315" s="23">
        <f>IFERROR(Consumo_Mensal!$F315*VLOOKUP(Consumo_Mensal!$E315,TBEstoque[[DESCRIÇÃO]:[VALOR UNIT. (R$)]],7,0), 0)</f>
        <v>9.1425000000000001</v>
      </c>
    </row>
    <row r="316" spans="2:13" ht="16.8" hidden="1">
      <c r="B316" s="20" t="str">
        <f>"PED-" &amp; Consumo_Mensal!$H316 &amp; "-" &amp; TEXT(Consumo_Mensal!$J316, "ddmmaa")</f>
        <v>PED-Farmácia Satélite - Unidade 02-200226</v>
      </c>
      <c r="C316" s="15">
        <v>20848</v>
      </c>
      <c r="D316" s="20" t="s">
        <v>2</v>
      </c>
      <c r="E316" s="20" t="s">
        <v>7</v>
      </c>
      <c r="F316" s="20">
        <v>1</v>
      </c>
      <c r="G316" s="16" t="s">
        <v>184</v>
      </c>
      <c r="H316" s="16" t="s">
        <v>256</v>
      </c>
      <c r="I316" s="16" t="s">
        <v>267</v>
      </c>
      <c r="J316" s="21">
        <v>46073</v>
      </c>
      <c r="K316" s="21">
        <v>46076</v>
      </c>
      <c r="L316" s="19" t="str">
        <f>CONCATENATE(NETWORKDAYS(Consumo_Mensal!$J316, Consumo_Mensal!$K316)-1, " dia")</f>
        <v>1 dia</v>
      </c>
      <c r="M316" s="23">
        <f>IFERROR(Consumo_Mensal!$F316*VLOOKUP(Consumo_Mensal!$E316,TBEstoque[[DESCRIÇÃO]:[VALOR UNIT. (R$)]],7,0), 0)</f>
        <v>48.93249999999999</v>
      </c>
    </row>
    <row r="317" spans="2:13" ht="16.8" hidden="1">
      <c r="B317" s="20" t="str">
        <f>"PED-" &amp; Consumo_Mensal!$H317 &amp; "-" &amp; TEXT(Consumo_Mensal!$J317, "ddmmaa")</f>
        <v>PED-Farmácia Satélite - Unidade 02-200226</v>
      </c>
      <c r="C317" s="15">
        <v>20813</v>
      </c>
      <c r="D317" s="20" t="s">
        <v>2</v>
      </c>
      <c r="E317" s="20" t="s">
        <v>3</v>
      </c>
      <c r="F317" s="20">
        <v>1</v>
      </c>
      <c r="G317" s="16" t="s">
        <v>183</v>
      </c>
      <c r="H317" s="16" t="s">
        <v>256</v>
      </c>
      <c r="I317" s="16" t="s">
        <v>267</v>
      </c>
      <c r="J317" s="21">
        <v>46073</v>
      </c>
      <c r="K317" s="21">
        <v>46076</v>
      </c>
      <c r="L317" s="19" t="str">
        <f>CONCATENATE(NETWORKDAYS(Consumo_Mensal!$J317, Consumo_Mensal!$K317)-1, " dia")</f>
        <v>1 dia</v>
      </c>
      <c r="M317" s="23">
        <f>IFERROR(Consumo_Mensal!$F317*VLOOKUP(Consumo_Mensal!$E317,TBEstoque[[DESCRIÇÃO]:[VALOR UNIT. (R$)]],7,0), 0)</f>
        <v>136.5395</v>
      </c>
    </row>
    <row r="318" spans="2:13" ht="16.8" hidden="1">
      <c r="B318" s="20" t="str">
        <f>"PED-" &amp; Consumo_Mensal!$H318 &amp; "-" &amp; TEXT(Consumo_Mensal!$J318, "ddmmaa")</f>
        <v>PED-Farmácia Satélite - Unidade 02-200226</v>
      </c>
      <c r="C318" s="15">
        <v>20851</v>
      </c>
      <c r="D318" s="20" t="s">
        <v>2</v>
      </c>
      <c r="E318" s="20" t="s">
        <v>13</v>
      </c>
      <c r="F318" s="20">
        <v>6</v>
      </c>
      <c r="G318" s="20" t="s">
        <v>186</v>
      </c>
      <c r="H318" s="16" t="s">
        <v>256</v>
      </c>
      <c r="I318" s="16" t="s">
        <v>267</v>
      </c>
      <c r="J318" s="21">
        <v>46073</v>
      </c>
      <c r="K318" s="21">
        <v>46076</v>
      </c>
      <c r="L318" s="19" t="str">
        <f>CONCATENATE(NETWORKDAYS(Consumo_Mensal!$J318, Consumo_Mensal!$K318)-1, " dia")</f>
        <v>1 dia</v>
      </c>
      <c r="M318" s="23">
        <f>IFERROR(Consumo_Mensal!$F318*VLOOKUP(Consumo_Mensal!$E318,TBEstoque[[DESCRIÇÃO]:[VALOR UNIT. (R$)]],7,0), 0)</f>
        <v>11.729999999999999</v>
      </c>
    </row>
    <row r="319" spans="2:13" ht="16.8" hidden="1">
      <c r="B319" s="20" t="str">
        <f>"PED-" &amp; Consumo_Mensal!$H319 &amp; "-" &amp; TEXT(Consumo_Mensal!$J319, "ddmmaa")</f>
        <v>PED-Farmácia Satélite - Unidade 02-200226</v>
      </c>
      <c r="C319" s="15">
        <v>20875</v>
      </c>
      <c r="D319" s="20" t="s">
        <v>2</v>
      </c>
      <c r="E319" s="20" t="s">
        <v>20</v>
      </c>
      <c r="F319" s="20">
        <v>1</v>
      </c>
      <c r="G319" s="16" t="s">
        <v>191</v>
      </c>
      <c r="H319" s="16" t="s">
        <v>256</v>
      </c>
      <c r="I319" s="16" t="s">
        <v>267</v>
      </c>
      <c r="J319" s="21">
        <v>46073</v>
      </c>
      <c r="K319" s="21">
        <v>46076</v>
      </c>
      <c r="L319" s="19" t="str">
        <f>CONCATENATE(NETWORKDAYS(Consumo_Mensal!$J319, Consumo_Mensal!$K319)-1, " dia")</f>
        <v>1 dia</v>
      </c>
      <c r="M319" s="23">
        <f>IFERROR(Consumo_Mensal!$F319*VLOOKUP(Consumo_Mensal!$E319,TBEstoque[[DESCRIÇÃO]:[VALOR UNIT. (R$)]],7,0), 0)</f>
        <v>68.160499999999999</v>
      </c>
    </row>
    <row r="320" spans="2:13" ht="16.8" hidden="1">
      <c r="B320" s="20" t="str">
        <f>"PED-" &amp; Consumo_Mensal!$H320 &amp; "-" &amp; TEXT(Consumo_Mensal!$J320, "ddmmaa")</f>
        <v>PED-Farmácia Satélite - Unidade 02-200226</v>
      </c>
      <c r="C320" s="15">
        <v>20869</v>
      </c>
      <c r="D320" s="20" t="s">
        <v>2</v>
      </c>
      <c r="E320" s="20" t="s">
        <v>38</v>
      </c>
      <c r="F320" s="20">
        <v>1</v>
      </c>
      <c r="G320" s="16" t="s">
        <v>183</v>
      </c>
      <c r="H320" s="16" t="s">
        <v>256</v>
      </c>
      <c r="I320" s="16" t="s">
        <v>267</v>
      </c>
      <c r="J320" s="21">
        <v>46073</v>
      </c>
      <c r="K320" s="21">
        <v>46076</v>
      </c>
      <c r="L320" s="19" t="str">
        <f>CONCATENATE(NETWORKDAYS(Consumo_Mensal!$J320, Consumo_Mensal!$K320)-1, " dia")</f>
        <v>1 dia</v>
      </c>
      <c r="M320" s="23">
        <f>IFERROR(Consumo_Mensal!$F320*VLOOKUP(Consumo_Mensal!$E320,TBEstoque[[DESCRIÇÃO]:[VALOR UNIT. (R$)]],7,0), 0)</f>
        <v>15.352499999999999</v>
      </c>
    </row>
    <row r="321" spans="2:13" ht="16.8" hidden="1">
      <c r="B321" s="20" t="str">
        <f>"PED-" &amp; Consumo_Mensal!$H321 &amp; "-" &amp; TEXT(Consumo_Mensal!$J321, "ddmmaa")</f>
        <v>PED-Farmácia Satélite - Unidade 02-200226</v>
      </c>
      <c r="C321" s="13">
        <v>926</v>
      </c>
      <c r="D321" s="20" t="s">
        <v>2</v>
      </c>
      <c r="E321" s="20" t="s">
        <v>47</v>
      </c>
      <c r="F321" s="20">
        <v>2</v>
      </c>
      <c r="G321" s="20" t="s">
        <v>186</v>
      </c>
      <c r="H321" s="16" t="s">
        <v>256</v>
      </c>
      <c r="I321" s="16" t="s">
        <v>267</v>
      </c>
      <c r="J321" s="21">
        <v>46073</v>
      </c>
      <c r="K321" s="21">
        <v>46076</v>
      </c>
      <c r="L321" s="19" t="str">
        <f>CONCATENATE(NETWORKDAYS(Consumo_Mensal!$J321, Consumo_Mensal!$K321)-1, " dia")</f>
        <v>1 dia</v>
      </c>
      <c r="M321" s="23">
        <f>IFERROR(Consumo_Mensal!$F321*VLOOKUP(Consumo_Mensal!$E321,TBEstoque[[DESCRIÇÃO]:[VALOR UNIT. (R$)]],7,0), 0)</f>
        <v>54.854999999999997</v>
      </c>
    </row>
    <row r="322" spans="2:13" ht="16.8" hidden="1">
      <c r="B322" s="20" t="str">
        <f>"PED-" &amp; Consumo_Mensal!$H322 &amp; "-" &amp; TEXT(Consumo_Mensal!$J322, "ddmmaa")</f>
        <v>PED-Farmácia Satélite - Unidade 02-200226</v>
      </c>
      <c r="C322" s="15">
        <v>20860</v>
      </c>
      <c r="D322" s="20" t="s">
        <v>2</v>
      </c>
      <c r="E322" s="20" t="s">
        <v>66</v>
      </c>
      <c r="F322" s="20">
        <v>2</v>
      </c>
      <c r="G322" s="20" t="s">
        <v>67</v>
      </c>
      <c r="H322" s="16" t="s">
        <v>256</v>
      </c>
      <c r="I322" s="16" t="s">
        <v>267</v>
      </c>
      <c r="J322" s="21">
        <v>46073</v>
      </c>
      <c r="K322" s="21">
        <v>46076</v>
      </c>
      <c r="L322" s="19" t="str">
        <f>CONCATENATE(NETWORKDAYS(Consumo_Mensal!$J322, Consumo_Mensal!$K322)-1, " dia")</f>
        <v>1 dia</v>
      </c>
      <c r="M322" s="23">
        <f>IFERROR(Consumo_Mensal!$F322*VLOOKUP(Consumo_Mensal!$E322,TBEstoque[[DESCRIÇÃO]:[VALOR UNIT. (R$)]],7,0), 0)</f>
        <v>37.26</v>
      </c>
    </row>
    <row r="323" spans="2:13" ht="16.8" hidden="1">
      <c r="B323" s="20" t="str">
        <f>"PED-" &amp; Consumo_Mensal!$H323 &amp; "-" &amp; TEXT(Consumo_Mensal!$J323, "ddmmaa")</f>
        <v>PED-Farmácia Satélite - Unidade 02-200226</v>
      </c>
      <c r="C323" s="15">
        <v>20856</v>
      </c>
      <c r="D323" s="20" t="s">
        <v>2</v>
      </c>
      <c r="E323" s="20" t="s">
        <v>68</v>
      </c>
      <c r="F323" s="20">
        <v>2</v>
      </c>
      <c r="G323" s="20" t="s">
        <v>67</v>
      </c>
      <c r="H323" s="16" t="s">
        <v>256</v>
      </c>
      <c r="I323" s="16" t="s">
        <v>267</v>
      </c>
      <c r="J323" s="21">
        <v>46073</v>
      </c>
      <c r="K323" s="21">
        <v>46076</v>
      </c>
      <c r="L323" s="19" t="str">
        <f>CONCATENATE(NETWORKDAYS(Consumo_Mensal!$J323, Consumo_Mensal!$K323)-1, " dia")</f>
        <v>1 dia</v>
      </c>
      <c r="M323" s="23">
        <f>IFERROR(Consumo_Mensal!$F323*VLOOKUP(Consumo_Mensal!$E323,TBEstoque[[DESCRIÇÃO]:[VALOR UNIT. (R$)]],7,0), 0)</f>
        <v>27.599999999999998</v>
      </c>
    </row>
    <row r="324" spans="2:13" ht="16.8" hidden="1">
      <c r="B324" s="16" t="str">
        <f>"PED-" &amp; Consumo_Mensal!$H324 &amp; "-" &amp; TEXT(Consumo_Mensal!$J324, "ddmmaa")</f>
        <v>PED-CD Logística - Regional ABC-230226</v>
      </c>
      <c r="C324" s="15">
        <v>20871</v>
      </c>
      <c r="D324" s="16" t="s">
        <v>2</v>
      </c>
      <c r="E324" s="13" t="s">
        <v>124</v>
      </c>
      <c r="F324" s="16">
        <v>1</v>
      </c>
      <c r="G324" s="16" t="s">
        <v>184</v>
      </c>
      <c r="H324" s="16" t="s">
        <v>255</v>
      </c>
      <c r="I324" s="16" t="s">
        <v>265</v>
      </c>
      <c r="J324" s="18">
        <v>46076</v>
      </c>
      <c r="K324" s="18">
        <v>46076</v>
      </c>
      <c r="L324" s="19" t="str">
        <f>CONCATENATE(NETWORKDAYS(Consumo_Mensal!$J324, Consumo_Mensal!$K324)-1, " dia")</f>
        <v>0 dia</v>
      </c>
      <c r="M324" s="23">
        <f>IFERROR(Consumo_Mensal!$F324*VLOOKUP(Consumo_Mensal!$E324,TBEstoque[[DESCRIÇÃO]:[VALOR UNIT. (R$)]],7,0), 0)</f>
        <v>38.64</v>
      </c>
    </row>
    <row r="325" spans="2:13" ht="16.8" hidden="1">
      <c r="B325" s="16" t="str">
        <f>"PED-" &amp; Consumo_Mensal!$H325 &amp; "-" &amp; TEXT(Consumo_Mensal!$J325, "ddmmaa")</f>
        <v>PED-CD Logística - Regional ABC-230226</v>
      </c>
      <c r="C325" s="15">
        <v>20813</v>
      </c>
      <c r="D325" s="16" t="s">
        <v>2</v>
      </c>
      <c r="E325" s="16" t="s">
        <v>3</v>
      </c>
      <c r="F325" s="16">
        <v>1</v>
      </c>
      <c r="G325" s="16" t="s">
        <v>183</v>
      </c>
      <c r="H325" s="16" t="s">
        <v>255</v>
      </c>
      <c r="I325" s="16" t="s">
        <v>265</v>
      </c>
      <c r="J325" s="18">
        <v>46076</v>
      </c>
      <c r="K325" s="18">
        <v>46076</v>
      </c>
      <c r="L325" s="19" t="str">
        <f>CONCATENATE(NETWORKDAYS(Consumo_Mensal!$J325, Consumo_Mensal!$K325)-1, " dia")</f>
        <v>0 dia</v>
      </c>
      <c r="M325" s="23">
        <f>IFERROR(Consumo_Mensal!$F325*VLOOKUP(Consumo_Mensal!$E325,TBEstoque[[DESCRIÇÃO]:[VALOR UNIT. (R$)]],7,0), 0)</f>
        <v>136.5395</v>
      </c>
    </row>
    <row r="326" spans="2:13" ht="16.8" hidden="1">
      <c r="B326" s="16" t="str">
        <f>"PED-" &amp; Consumo_Mensal!$H326 &amp; "-" &amp; TEXT(Consumo_Mensal!$J326, "ddmmaa")</f>
        <v>PED-CD Logística - Regional ABC-230226</v>
      </c>
      <c r="C326" s="15">
        <v>20862</v>
      </c>
      <c r="D326" s="16" t="s">
        <v>2</v>
      </c>
      <c r="E326" s="16" t="s">
        <v>48</v>
      </c>
      <c r="F326" s="16">
        <v>2</v>
      </c>
      <c r="G326" s="20" t="s">
        <v>186</v>
      </c>
      <c r="H326" s="16" t="s">
        <v>255</v>
      </c>
      <c r="I326" s="16" t="s">
        <v>265</v>
      </c>
      <c r="J326" s="18">
        <v>46076</v>
      </c>
      <c r="K326" s="18">
        <v>46076</v>
      </c>
      <c r="L326" s="19" t="str">
        <f>CONCATENATE(NETWORKDAYS(Consumo_Mensal!$J326, Consumo_Mensal!$K326)-1, " dia")</f>
        <v>0 dia</v>
      </c>
      <c r="M326" s="23">
        <f>IFERROR(Consumo_Mensal!$F326*VLOOKUP(Consumo_Mensal!$E326,TBEstoque[[DESCRIÇÃO]:[VALOR UNIT. (R$)]],7,0), 0)</f>
        <v>12.052</v>
      </c>
    </row>
    <row r="327" spans="2:13" ht="16.8" hidden="1">
      <c r="B327" s="16" t="str">
        <f>"PED-" &amp; Consumo_Mensal!$H327 &amp; "-" &amp; TEXT(Consumo_Mensal!$J327, "ddmmaa")</f>
        <v>PED-CD Logística - Regional ABC-230226</v>
      </c>
      <c r="C327" s="15">
        <v>20867</v>
      </c>
      <c r="D327" s="16" t="s">
        <v>2</v>
      </c>
      <c r="E327" s="16" t="s">
        <v>19</v>
      </c>
      <c r="F327" s="16">
        <v>4</v>
      </c>
      <c r="G327" s="20" t="s">
        <v>186</v>
      </c>
      <c r="H327" s="16" t="s">
        <v>255</v>
      </c>
      <c r="I327" s="16" t="s">
        <v>265</v>
      </c>
      <c r="J327" s="18">
        <v>46076</v>
      </c>
      <c r="K327" s="18">
        <v>46076</v>
      </c>
      <c r="L327" s="19" t="str">
        <f>CONCATENATE(NETWORKDAYS(Consumo_Mensal!$J327, Consumo_Mensal!$K327)-1, " dia")</f>
        <v>0 dia</v>
      </c>
      <c r="M327" s="23">
        <f>IFERROR(Consumo_Mensal!$F327*VLOOKUP(Consumo_Mensal!$E327,TBEstoque[[DESCRIÇÃO]:[VALOR UNIT. (R$)]],7,0), 0)</f>
        <v>7.6359999999999992</v>
      </c>
    </row>
    <row r="328" spans="2:13" ht="16.8" hidden="1">
      <c r="B328" s="16" t="str">
        <f>"PED-" &amp; Consumo_Mensal!$H328 &amp; "-" &amp; TEXT(Consumo_Mensal!$J328, "ddmmaa")</f>
        <v>PED-CD Logística - Regional ABC-230226</v>
      </c>
      <c r="C328" s="15">
        <v>20880</v>
      </c>
      <c r="D328" s="20" t="s">
        <v>2</v>
      </c>
      <c r="E328" s="20" t="s">
        <v>21</v>
      </c>
      <c r="F328" s="16">
        <v>2</v>
      </c>
      <c r="G328" s="20" t="s">
        <v>186</v>
      </c>
      <c r="H328" s="16" t="s">
        <v>255</v>
      </c>
      <c r="I328" s="16" t="s">
        <v>265</v>
      </c>
      <c r="J328" s="18">
        <v>46076</v>
      </c>
      <c r="K328" s="18">
        <v>46076</v>
      </c>
      <c r="L328" s="19" t="str">
        <f>CONCATENATE(NETWORKDAYS(Consumo_Mensal!$J328, Consumo_Mensal!$K328)-1, " dia")</f>
        <v>0 dia</v>
      </c>
      <c r="M328" s="23">
        <f>IFERROR(Consumo_Mensal!$F328*VLOOKUP(Consumo_Mensal!$E328,TBEstoque[[DESCRIÇÃO]:[VALOR UNIT. (R$)]],7,0), 0)</f>
        <v>18.285</v>
      </c>
    </row>
    <row r="329" spans="2:13" ht="16.8" hidden="1">
      <c r="B329" s="16" t="str">
        <f>"PED-" &amp; Consumo_Mensal!$H329 &amp; "-" &amp; TEXT(Consumo_Mensal!$J329, "ddmmaa")</f>
        <v>PED-CD Logística - Regional ABC-230226</v>
      </c>
      <c r="C329" s="15">
        <v>20812</v>
      </c>
      <c r="D329" s="16" t="s">
        <v>2</v>
      </c>
      <c r="E329" s="16" t="s">
        <v>17</v>
      </c>
      <c r="F329" s="16">
        <v>1</v>
      </c>
      <c r="G329" s="16" t="s">
        <v>183</v>
      </c>
      <c r="H329" s="16" t="s">
        <v>255</v>
      </c>
      <c r="I329" s="16" t="s">
        <v>265</v>
      </c>
      <c r="J329" s="18">
        <v>46076</v>
      </c>
      <c r="K329" s="18">
        <v>46076</v>
      </c>
      <c r="L329" s="19" t="str">
        <f>CONCATENATE(NETWORKDAYS(Consumo_Mensal!$J329, Consumo_Mensal!$K329)-1, " dia")</f>
        <v>0 dia</v>
      </c>
      <c r="M329" s="23">
        <f>IFERROR(Consumo_Mensal!$F329*VLOOKUP(Consumo_Mensal!$E329,TBEstoque[[DESCRIÇÃO]:[VALOR UNIT. (R$)]],7,0), 0)</f>
        <v>150.29349999999999</v>
      </c>
    </row>
    <row r="330" spans="2:13" ht="16.8" hidden="1">
      <c r="B330" s="16" t="str">
        <f>"PED-" &amp; Consumo_Mensal!$H330 &amp; "-" &amp; TEXT(Consumo_Mensal!$J330, "ddmmaa")</f>
        <v>PED-CD Logística - Regional ABC-230226</v>
      </c>
      <c r="C330" s="15">
        <v>20876</v>
      </c>
      <c r="D330" s="16" t="s">
        <v>2</v>
      </c>
      <c r="E330" s="16" t="s">
        <v>46</v>
      </c>
      <c r="F330" s="16">
        <v>1</v>
      </c>
      <c r="G330" s="16" t="s">
        <v>191</v>
      </c>
      <c r="H330" s="16" t="s">
        <v>255</v>
      </c>
      <c r="I330" s="16" t="s">
        <v>265</v>
      </c>
      <c r="J330" s="18">
        <v>46076</v>
      </c>
      <c r="K330" s="18">
        <v>46076</v>
      </c>
      <c r="L330" s="19" t="str">
        <f>CONCATENATE(NETWORKDAYS(Consumo_Mensal!$J330, Consumo_Mensal!$K330)-1, " dia")</f>
        <v>0 dia</v>
      </c>
      <c r="M330" s="23">
        <f>IFERROR(Consumo_Mensal!$F330*VLOOKUP(Consumo_Mensal!$E330,TBEstoque[[DESCRIÇÃO]:[VALOR UNIT. (R$)]],7,0), 0)</f>
        <v>67.274999999999991</v>
      </c>
    </row>
    <row r="331" spans="2:13" ht="16.8" hidden="1">
      <c r="B331" s="16" t="str">
        <f>"PED-" &amp; Consumo_Mensal!$H331 &amp; "-" &amp; TEXT(Consumo_Mensal!$J331, "ddmmaa")</f>
        <v>PED-Farmácia Principal - Unidade 01-230226</v>
      </c>
      <c r="C331" s="15">
        <v>20848</v>
      </c>
      <c r="D331" s="16" t="s">
        <v>2</v>
      </c>
      <c r="E331" s="16" t="s">
        <v>7</v>
      </c>
      <c r="F331" s="16">
        <v>2</v>
      </c>
      <c r="G331" s="16" t="s">
        <v>184</v>
      </c>
      <c r="H331" s="16" t="s">
        <v>263</v>
      </c>
      <c r="I331" s="16" t="s">
        <v>266</v>
      </c>
      <c r="J331" s="18">
        <v>46076</v>
      </c>
      <c r="K331" s="18">
        <v>46076</v>
      </c>
      <c r="L331" s="19" t="str">
        <f>CONCATENATE(NETWORKDAYS(Consumo_Mensal!$J331, Consumo_Mensal!$K331)-1, " dia")</f>
        <v>0 dia</v>
      </c>
      <c r="M331" s="23">
        <f>IFERROR(Consumo_Mensal!$F331*VLOOKUP(Consumo_Mensal!$E331,TBEstoque[[DESCRIÇÃO]:[VALOR UNIT. (R$)]],7,0), 0)</f>
        <v>97.864999999999981</v>
      </c>
    </row>
    <row r="332" spans="2:13" ht="16.8" hidden="1">
      <c r="B332" s="16" t="str">
        <f>"PED-" &amp; Consumo_Mensal!$H332 &amp; "-" &amp; TEXT(Consumo_Mensal!$J332, "ddmmaa")</f>
        <v>PED-Farmácia Principal - Unidade 01-230226</v>
      </c>
      <c r="C332" s="15">
        <v>20812</v>
      </c>
      <c r="D332" s="16" t="s">
        <v>2</v>
      </c>
      <c r="E332" s="16" t="s">
        <v>17</v>
      </c>
      <c r="F332" s="16">
        <v>2</v>
      </c>
      <c r="G332" s="16" t="s">
        <v>183</v>
      </c>
      <c r="H332" s="16" t="s">
        <v>263</v>
      </c>
      <c r="I332" s="16" t="s">
        <v>266</v>
      </c>
      <c r="J332" s="18">
        <v>46076</v>
      </c>
      <c r="K332" s="18">
        <v>46076</v>
      </c>
      <c r="L332" s="19" t="str">
        <f>CONCATENATE(NETWORKDAYS(Consumo_Mensal!$J332, Consumo_Mensal!$K332)-1, " dia")</f>
        <v>0 dia</v>
      </c>
      <c r="M332" s="23">
        <f>IFERROR(Consumo_Mensal!$F332*VLOOKUP(Consumo_Mensal!$E332,TBEstoque[[DESCRIÇÃO]:[VALOR UNIT. (R$)]],7,0), 0)</f>
        <v>300.58699999999999</v>
      </c>
    </row>
    <row r="333" spans="2:13" ht="16.8" hidden="1">
      <c r="B333" s="16" t="str">
        <f>"PED-" &amp; Consumo_Mensal!$H333 &amp; "-" &amp; TEXT(Consumo_Mensal!$J333, "ddmmaa")</f>
        <v>PED-Farmácia Principal - Unidade 01-230226</v>
      </c>
      <c r="C333" s="15">
        <v>20813</v>
      </c>
      <c r="D333" s="16" t="s">
        <v>2</v>
      </c>
      <c r="E333" s="16" t="s">
        <v>3</v>
      </c>
      <c r="F333" s="16">
        <v>2</v>
      </c>
      <c r="G333" s="16" t="s">
        <v>183</v>
      </c>
      <c r="H333" s="16" t="s">
        <v>263</v>
      </c>
      <c r="I333" s="16" t="s">
        <v>266</v>
      </c>
      <c r="J333" s="18">
        <v>46076</v>
      </c>
      <c r="K333" s="18">
        <v>46076</v>
      </c>
      <c r="L333" s="19" t="str">
        <f>CONCATENATE(NETWORKDAYS(Consumo_Mensal!$J333, Consumo_Mensal!$K333)-1, " dia")</f>
        <v>0 dia</v>
      </c>
      <c r="M333" s="23">
        <f>IFERROR(Consumo_Mensal!$F333*VLOOKUP(Consumo_Mensal!$E333,TBEstoque[[DESCRIÇÃO]:[VALOR UNIT. (R$)]],7,0), 0)</f>
        <v>273.07900000000001</v>
      </c>
    </row>
    <row r="334" spans="2:13" ht="16.8" hidden="1">
      <c r="B334" s="16" t="str">
        <f>"PED-" &amp; Consumo_Mensal!$H334 &amp; "-" &amp; TEXT(Consumo_Mensal!$J334, "ddmmaa")</f>
        <v>PED-Farmácia Principal - Unidade 01-230226</v>
      </c>
      <c r="C334" s="15">
        <v>20867</v>
      </c>
      <c r="D334" s="16" t="s">
        <v>2</v>
      </c>
      <c r="E334" s="16" t="s">
        <v>19</v>
      </c>
      <c r="F334" s="16">
        <v>9</v>
      </c>
      <c r="G334" s="20" t="s">
        <v>186</v>
      </c>
      <c r="H334" s="16" t="s">
        <v>263</v>
      </c>
      <c r="I334" s="16" t="s">
        <v>266</v>
      </c>
      <c r="J334" s="18">
        <v>46076</v>
      </c>
      <c r="K334" s="18">
        <v>46076</v>
      </c>
      <c r="L334" s="19" t="str">
        <f>CONCATENATE(NETWORKDAYS(Consumo_Mensal!$J334, Consumo_Mensal!$K334)-1, " dia")</f>
        <v>0 dia</v>
      </c>
      <c r="M334" s="23">
        <f>IFERROR(Consumo_Mensal!$F334*VLOOKUP(Consumo_Mensal!$E334,TBEstoque[[DESCRIÇÃO]:[VALOR UNIT. (R$)]],7,0), 0)</f>
        <v>17.180999999999997</v>
      </c>
    </row>
    <row r="335" spans="2:13" ht="16.8" hidden="1">
      <c r="B335" s="16" t="str">
        <f>"PED-" &amp; Consumo_Mensal!$H335 &amp; "-" &amp; TEXT(Consumo_Mensal!$J335, "ddmmaa")</f>
        <v>PED-Farmácia Principal - Unidade 01-230226</v>
      </c>
      <c r="C335" s="15">
        <v>20863</v>
      </c>
      <c r="D335" s="16" t="s">
        <v>2</v>
      </c>
      <c r="E335" s="16" t="s">
        <v>72</v>
      </c>
      <c r="F335" s="16">
        <v>3</v>
      </c>
      <c r="G335" s="20" t="s">
        <v>186</v>
      </c>
      <c r="H335" s="16" t="s">
        <v>263</v>
      </c>
      <c r="I335" s="16" t="s">
        <v>266</v>
      </c>
      <c r="J335" s="18">
        <v>46076</v>
      </c>
      <c r="K335" s="18">
        <v>46076</v>
      </c>
      <c r="L335" s="19" t="str">
        <f>CONCATENATE(NETWORKDAYS(Consumo_Mensal!$J335, Consumo_Mensal!$K335)-1, " dia")</f>
        <v>0 dia</v>
      </c>
      <c r="M335" s="23">
        <f>IFERROR(Consumo_Mensal!$F335*VLOOKUP(Consumo_Mensal!$E335,TBEstoque[[DESCRIÇÃO]:[VALOR UNIT. (R$)]],7,0), 0)</f>
        <v>13.558499999999999</v>
      </c>
    </row>
    <row r="336" spans="2:13" ht="16.8" hidden="1">
      <c r="B336" s="16" t="str">
        <f>"PED-" &amp; Consumo_Mensal!$H336 &amp; "-" &amp; TEXT(Consumo_Mensal!$J336, "ddmmaa")</f>
        <v>PED-Farmácia Principal - Unidade 01-230226</v>
      </c>
      <c r="C336" s="15">
        <v>20872</v>
      </c>
      <c r="D336" s="16" t="s">
        <v>2</v>
      </c>
      <c r="E336" s="16" t="s">
        <v>12</v>
      </c>
      <c r="F336" s="16">
        <v>1</v>
      </c>
      <c r="G336" s="16" t="s">
        <v>191</v>
      </c>
      <c r="H336" s="16" t="s">
        <v>263</v>
      </c>
      <c r="I336" s="16" t="s">
        <v>266</v>
      </c>
      <c r="J336" s="18">
        <v>46076</v>
      </c>
      <c r="K336" s="18">
        <v>46076</v>
      </c>
      <c r="L336" s="19" t="str">
        <f>CONCATENATE(NETWORKDAYS(Consumo_Mensal!$J336, Consumo_Mensal!$K336)-1, " dia")</f>
        <v>0 dia</v>
      </c>
      <c r="M336" s="23">
        <f>IFERROR(Consumo_Mensal!$F336*VLOOKUP(Consumo_Mensal!$E336,TBEstoque[[DESCRIÇÃO]:[VALOR UNIT. (R$)]],7,0), 0)</f>
        <v>97.749999999999986</v>
      </c>
    </row>
    <row r="337" spans="2:13" ht="16.8" hidden="1">
      <c r="B337" s="16" t="str">
        <f>"PED-" &amp; Consumo_Mensal!$H337 &amp; "-" &amp; TEXT(Consumo_Mensal!$J337, "ddmmaa")</f>
        <v>PED-Farmácia Principal - Unidade 01-230226</v>
      </c>
      <c r="C337" s="15">
        <v>20876</v>
      </c>
      <c r="D337" s="16" t="s">
        <v>2</v>
      </c>
      <c r="E337" s="16" t="s">
        <v>46</v>
      </c>
      <c r="F337" s="16">
        <v>1</v>
      </c>
      <c r="G337" s="16" t="s">
        <v>191</v>
      </c>
      <c r="H337" s="16" t="s">
        <v>263</v>
      </c>
      <c r="I337" s="16" t="s">
        <v>266</v>
      </c>
      <c r="J337" s="18">
        <v>46076</v>
      </c>
      <c r="K337" s="18">
        <v>46076</v>
      </c>
      <c r="L337" s="19" t="str">
        <f>CONCATENATE(NETWORKDAYS(Consumo_Mensal!$J337, Consumo_Mensal!$K337)-1, " dia")</f>
        <v>0 dia</v>
      </c>
      <c r="M337" s="23">
        <f>IFERROR(Consumo_Mensal!$F337*VLOOKUP(Consumo_Mensal!$E337,TBEstoque[[DESCRIÇÃO]:[VALOR UNIT. (R$)]],7,0), 0)</f>
        <v>67.274999999999991</v>
      </c>
    </row>
    <row r="338" spans="2:13" ht="16.8" hidden="1">
      <c r="B338" s="16" t="str">
        <f>"PED-" &amp; Consumo_Mensal!$H338 &amp; "-" &amp; TEXT(Consumo_Mensal!$J338, "ddmmaa")</f>
        <v>PED-Farmácia Principal - Unidade 01-230226</v>
      </c>
      <c r="C338" s="15">
        <v>20880</v>
      </c>
      <c r="D338" s="20" t="s">
        <v>2</v>
      </c>
      <c r="E338" s="20" t="s">
        <v>21</v>
      </c>
      <c r="F338" s="16">
        <v>2</v>
      </c>
      <c r="G338" s="20" t="s">
        <v>186</v>
      </c>
      <c r="H338" s="16" t="s">
        <v>263</v>
      </c>
      <c r="I338" s="16" t="s">
        <v>266</v>
      </c>
      <c r="J338" s="18">
        <v>46076</v>
      </c>
      <c r="K338" s="18">
        <v>46076</v>
      </c>
      <c r="L338" s="19" t="str">
        <f>CONCATENATE(NETWORKDAYS(Consumo_Mensal!$J338, Consumo_Mensal!$K338)-1, " dia")</f>
        <v>0 dia</v>
      </c>
      <c r="M338" s="23">
        <f>IFERROR(Consumo_Mensal!$F338*VLOOKUP(Consumo_Mensal!$E338,TBEstoque[[DESCRIÇÃO]:[VALOR UNIT. (R$)]],7,0), 0)</f>
        <v>18.285</v>
      </c>
    </row>
    <row r="339" spans="2:13" ht="16.8" hidden="1">
      <c r="B339" s="20" t="str">
        <f>"PED-" &amp; Consumo_Mensal!$H339 &amp; "-" &amp; TEXT(Consumo_Mensal!$J339, "ddmmaa")</f>
        <v>PED-Escritório Central - Sede-230226</v>
      </c>
      <c r="C339" s="15">
        <v>20847</v>
      </c>
      <c r="D339" s="20" t="s">
        <v>2</v>
      </c>
      <c r="E339" s="20" t="s">
        <v>6</v>
      </c>
      <c r="F339" s="20">
        <v>1</v>
      </c>
      <c r="G339" s="16" t="s">
        <v>184</v>
      </c>
      <c r="H339" s="16" t="s">
        <v>260</v>
      </c>
      <c r="I339" s="16" t="s">
        <v>271</v>
      </c>
      <c r="J339" s="21">
        <v>46076</v>
      </c>
      <c r="K339" s="18">
        <v>46076</v>
      </c>
      <c r="L339" s="19" t="str">
        <f>CONCATENATE(NETWORKDAYS(Consumo_Mensal!$J339, Consumo_Mensal!$K339)-1, " dia")</f>
        <v>0 dia</v>
      </c>
      <c r="M339" s="23">
        <f>IFERROR(Consumo_Mensal!$F339*VLOOKUP(Consumo_Mensal!$E339,TBEstoque[[DESCRIÇÃO]:[VALOR UNIT. (R$)]],7,0), 0)</f>
        <v>24.84</v>
      </c>
    </row>
    <row r="340" spans="2:13" ht="16.8" hidden="1">
      <c r="B340" s="20" t="str">
        <f>"PED-" &amp; Consumo_Mensal!$H340 &amp; "-" &amp; TEXT(Consumo_Mensal!$J340, "ddmmaa")</f>
        <v>PED-Escritório Central - Sede-230226</v>
      </c>
      <c r="C340" s="15">
        <v>20848</v>
      </c>
      <c r="D340" s="20" t="s">
        <v>2</v>
      </c>
      <c r="E340" s="20" t="s">
        <v>7</v>
      </c>
      <c r="F340" s="20">
        <v>1</v>
      </c>
      <c r="G340" s="16" t="s">
        <v>184</v>
      </c>
      <c r="H340" s="16" t="s">
        <v>260</v>
      </c>
      <c r="I340" s="16" t="s">
        <v>271</v>
      </c>
      <c r="J340" s="21">
        <v>46076</v>
      </c>
      <c r="K340" s="18">
        <v>46076</v>
      </c>
      <c r="L340" s="19" t="str">
        <f>CONCATENATE(NETWORKDAYS(Consumo_Mensal!$J340, Consumo_Mensal!$K340)-1, " dia")</f>
        <v>0 dia</v>
      </c>
      <c r="M340" s="23">
        <f>IFERROR(Consumo_Mensal!$F340*VLOOKUP(Consumo_Mensal!$E340,TBEstoque[[DESCRIÇÃO]:[VALOR UNIT. (R$)]],7,0), 0)</f>
        <v>48.93249999999999</v>
      </c>
    </row>
    <row r="341" spans="2:13" ht="16.8" hidden="1">
      <c r="B341" s="20" t="str">
        <f>"PED-" &amp; Consumo_Mensal!$H341 &amp; "-" &amp; TEXT(Consumo_Mensal!$J341, "ddmmaa")</f>
        <v>PED-Escritório Central - Sede-230226</v>
      </c>
      <c r="C341" s="15">
        <v>20812</v>
      </c>
      <c r="D341" s="20" t="s">
        <v>2</v>
      </c>
      <c r="E341" s="20" t="s">
        <v>17</v>
      </c>
      <c r="F341" s="20">
        <v>2</v>
      </c>
      <c r="G341" s="16" t="s">
        <v>183</v>
      </c>
      <c r="H341" s="16" t="s">
        <v>260</v>
      </c>
      <c r="I341" s="16" t="s">
        <v>271</v>
      </c>
      <c r="J341" s="21">
        <v>46076</v>
      </c>
      <c r="K341" s="18">
        <v>46076</v>
      </c>
      <c r="L341" s="19" t="str">
        <f>CONCATENATE(NETWORKDAYS(Consumo_Mensal!$J341, Consumo_Mensal!$K341)-1, " dia")</f>
        <v>0 dia</v>
      </c>
      <c r="M341" s="23">
        <f>IFERROR(Consumo_Mensal!$F341*VLOOKUP(Consumo_Mensal!$E341,TBEstoque[[DESCRIÇÃO]:[VALOR UNIT. (R$)]],7,0), 0)</f>
        <v>300.58699999999999</v>
      </c>
    </row>
    <row r="342" spans="2:13" ht="16.8" hidden="1">
      <c r="B342" s="20" t="str">
        <f>"PED-" &amp; Consumo_Mensal!$H342 &amp; "-" &amp; TEXT(Consumo_Mensal!$J342, "ddmmaa")</f>
        <v>PED-Escritório Central - Sede-230226</v>
      </c>
      <c r="C342" s="15">
        <v>20813</v>
      </c>
      <c r="D342" s="20" t="s">
        <v>2</v>
      </c>
      <c r="E342" s="20" t="s">
        <v>3</v>
      </c>
      <c r="F342" s="20">
        <v>1</v>
      </c>
      <c r="G342" s="16" t="s">
        <v>183</v>
      </c>
      <c r="H342" s="16" t="s">
        <v>260</v>
      </c>
      <c r="I342" s="16" t="s">
        <v>271</v>
      </c>
      <c r="J342" s="21">
        <v>46076</v>
      </c>
      <c r="K342" s="18">
        <v>46076</v>
      </c>
      <c r="L342" s="19" t="str">
        <f>CONCATENATE(NETWORKDAYS(Consumo_Mensal!$J342, Consumo_Mensal!$K342)-1, " dia")</f>
        <v>0 dia</v>
      </c>
      <c r="M342" s="23">
        <f>IFERROR(Consumo_Mensal!$F342*VLOOKUP(Consumo_Mensal!$E342,TBEstoque[[DESCRIÇÃO]:[VALOR UNIT. (R$)]],7,0), 0)</f>
        <v>136.5395</v>
      </c>
    </row>
    <row r="343" spans="2:13" ht="16.8" hidden="1">
      <c r="B343" s="20" t="str">
        <f>"PED-" &amp; Consumo_Mensal!$H343 &amp; "-" &amp; TEXT(Consumo_Mensal!$J343, "ddmmaa")</f>
        <v>PED-Escritório Central - Sede-230226</v>
      </c>
      <c r="C343" s="15">
        <v>20876</v>
      </c>
      <c r="D343" s="20" t="s">
        <v>2</v>
      </c>
      <c r="E343" s="20" t="s">
        <v>46</v>
      </c>
      <c r="F343" s="20">
        <v>1</v>
      </c>
      <c r="G343" s="16" t="s">
        <v>191</v>
      </c>
      <c r="H343" s="16" t="s">
        <v>260</v>
      </c>
      <c r="I343" s="16" t="s">
        <v>271</v>
      </c>
      <c r="J343" s="21">
        <v>46076</v>
      </c>
      <c r="K343" s="18">
        <v>46076</v>
      </c>
      <c r="L343" s="19" t="str">
        <f>CONCATENATE(NETWORKDAYS(Consumo_Mensal!$J343, Consumo_Mensal!$K343)-1, " dia")</f>
        <v>0 dia</v>
      </c>
      <c r="M343" s="23">
        <f>IFERROR(Consumo_Mensal!$F343*VLOOKUP(Consumo_Mensal!$E343,TBEstoque[[DESCRIÇÃO]:[VALOR UNIT. (R$)]],7,0), 0)</f>
        <v>67.274999999999991</v>
      </c>
    </row>
    <row r="344" spans="2:13" ht="16.8" hidden="1">
      <c r="B344" s="20" t="str">
        <f>"PED-" &amp; Consumo_Mensal!$H344 &amp; "-" &amp; TEXT(Consumo_Mensal!$J344, "ddmmaa")</f>
        <v>PED-Escritório Central - Sede-230226</v>
      </c>
      <c r="C344" s="15">
        <v>20879</v>
      </c>
      <c r="D344" s="20" t="s">
        <v>2</v>
      </c>
      <c r="E344" s="20" t="s">
        <v>51</v>
      </c>
      <c r="F344" s="20">
        <v>1</v>
      </c>
      <c r="G344" s="16" t="s">
        <v>191</v>
      </c>
      <c r="H344" s="16" t="s">
        <v>260</v>
      </c>
      <c r="I344" s="16" t="s">
        <v>271</v>
      </c>
      <c r="J344" s="21">
        <v>46076</v>
      </c>
      <c r="K344" s="18">
        <v>46076</v>
      </c>
      <c r="L344" s="19" t="str">
        <f>CONCATENATE(NETWORKDAYS(Consumo_Mensal!$J344, Consumo_Mensal!$K344)-1, " dia")</f>
        <v>0 dia</v>
      </c>
      <c r="M344" s="23">
        <f>IFERROR(Consumo_Mensal!$F344*VLOOKUP(Consumo_Mensal!$E344,TBEstoque[[DESCRIÇÃO]:[VALOR UNIT. (R$)]],7,0), 0)</f>
        <v>34.5</v>
      </c>
    </row>
    <row r="345" spans="2:13" ht="16.8" hidden="1">
      <c r="B345" s="20" t="str">
        <f>"PED-" &amp; Consumo_Mensal!$H345 &amp; "-" &amp; TEXT(Consumo_Mensal!$J345, "ddmmaa")</f>
        <v>PED-Escritório Central - Sede-230226</v>
      </c>
      <c r="C345" s="15">
        <v>20877</v>
      </c>
      <c r="D345" s="20" t="s">
        <v>2</v>
      </c>
      <c r="E345" s="20" t="s">
        <v>52</v>
      </c>
      <c r="F345" s="20">
        <v>1</v>
      </c>
      <c r="G345" s="16" t="s">
        <v>191</v>
      </c>
      <c r="H345" s="16" t="s">
        <v>260</v>
      </c>
      <c r="I345" s="16" t="s">
        <v>271</v>
      </c>
      <c r="J345" s="21">
        <v>46076</v>
      </c>
      <c r="K345" s="18">
        <v>46076</v>
      </c>
      <c r="L345" s="19" t="str">
        <f>CONCATENATE(NETWORKDAYS(Consumo_Mensal!$J345, Consumo_Mensal!$K345)-1, " dia")</f>
        <v>0 dia</v>
      </c>
      <c r="M345" s="23">
        <f>IFERROR(Consumo_Mensal!$F345*VLOOKUP(Consumo_Mensal!$E345,TBEstoque[[DESCRIÇÃO]:[VALOR UNIT. (R$)]],7,0), 0)</f>
        <v>24.15</v>
      </c>
    </row>
    <row r="346" spans="2:13" ht="16.8" hidden="1">
      <c r="B346" s="20" t="str">
        <f>"PED-" &amp; Consumo_Mensal!$H346 &amp; "-" &amp; TEXT(Consumo_Mensal!$J346, "ddmmaa")</f>
        <v>PED-Escritório Central - Sede-230226</v>
      </c>
      <c r="C346" s="15">
        <v>20880</v>
      </c>
      <c r="D346" s="20" t="s">
        <v>2</v>
      </c>
      <c r="E346" s="20" t="s">
        <v>21</v>
      </c>
      <c r="F346" s="20">
        <v>1</v>
      </c>
      <c r="G346" s="20" t="s">
        <v>186</v>
      </c>
      <c r="H346" s="16" t="s">
        <v>260</v>
      </c>
      <c r="I346" s="16" t="s">
        <v>271</v>
      </c>
      <c r="J346" s="21">
        <v>46076</v>
      </c>
      <c r="K346" s="18">
        <v>46076</v>
      </c>
      <c r="L346" s="19" t="str">
        <f>CONCATENATE(NETWORKDAYS(Consumo_Mensal!$J346, Consumo_Mensal!$K346)-1, " dia")</f>
        <v>0 dia</v>
      </c>
      <c r="M346" s="23">
        <f>IFERROR(Consumo_Mensal!$F346*VLOOKUP(Consumo_Mensal!$E346,TBEstoque[[DESCRIÇÃO]:[VALOR UNIT. (R$)]],7,0), 0)</f>
        <v>9.1425000000000001</v>
      </c>
    </row>
    <row r="347" spans="2:13" ht="16.8" hidden="1">
      <c r="B347" s="20" t="str">
        <f>"PED-" &amp; Consumo_Mensal!$H347 &amp; "-" &amp; TEXT(Consumo_Mensal!$J347, "ddmmaa")</f>
        <v>PED-Escritório Central - Sede-230226</v>
      </c>
      <c r="C347" s="15">
        <v>20853</v>
      </c>
      <c r="D347" s="20" t="s">
        <v>2</v>
      </c>
      <c r="E347" s="20" t="s">
        <v>44</v>
      </c>
      <c r="F347" s="20">
        <v>2</v>
      </c>
      <c r="G347" s="20" t="s">
        <v>186</v>
      </c>
      <c r="H347" s="16" t="s">
        <v>260</v>
      </c>
      <c r="I347" s="16" t="s">
        <v>271</v>
      </c>
      <c r="J347" s="21">
        <v>46076</v>
      </c>
      <c r="K347" s="18">
        <v>46076</v>
      </c>
      <c r="L347" s="19" t="str">
        <f>CONCATENATE(NETWORKDAYS(Consumo_Mensal!$J347, Consumo_Mensal!$K347)-1, " dia")</f>
        <v>0 dia</v>
      </c>
      <c r="M347" s="23">
        <f>IFERROR(Consumo_Mensal!$F347*VLOOKUP(Consumo_Mensal!$E347,TBEstoque[[DESCRIÇÃO]:[VALOR UNIT. (R$)]],7,0), 0)</f>
        <v>65.204999999999998</v>
      </c>
    </row>
    <row r="348" spans="2:13" ht="16.8" hidden="1">
      <c r="B348" s="20" t="str">
        <f>"PED-" &amp; Consumo_Mensal!$H348 &amp; "-" &amp; TEXT(Consumo_Mensal!$J348, "ddmmaa")</f>
        <v>PED-Escritório Central - Sede-230226</v>
      </c>
      <c r="C348" s="15">
        <v>20851</v>
      </c>
      <c r="D348" s="20" t="s">
        <v>2</v>
      </c>
      <c r="E348" s="20" t="s">
        <v>13</v>
      </c>
      <c r="F348" s="20">
        <v>5</v>
      </c>
      <c r="G348" s="20" t="s">
        <v>186</v>
      </c>
      <c r="H348" s="16" t="s">
        <v>260</v>
      </c>
      <c r="I348" s="16" t="s">
        <v>271</v>
      </c>
      <c r="J348" s="21">
        <v>46076</v>
      </c>
      <c r="K348" s="18">
        <v>46076</v>
      </c>
      <c r="L348" s="19" t="str">
        <f>CONCATENATE(NETWORKDAYS(Consumo_Mensal!$J348, Consumo_Mensal!$K348)-1, " dia")</f>
        <v>0 dia</v>
      </c>
      <c r="M348" s="23">
        <f>IFERROR(Consumo_Mensal!$F348*VLOOKUP(Consumo_Mensal!$E348,TBEstoque[[DESCRIÇÃO]:[VALOR UNIT. (R$)]],7,0), 0)</f>
        <v>9.7749999999999986</v>
      </c>
    </row>
    <row r="349" spans="2:13" ht="16.8" hidden="1">
      <c r="B349" s="16" t="str">
        <f>"PED-" &amp; Consumo_Mensal!$H349 &amp; "-" &amp; TEXT(Consumo_Mensal!$J349, "ddmmaa")</f>
        <v>PED-Almoxarifado Central-260226</v>
      </c>
      <c r="C349" s="15">
        <v>20878</v>
      </c>
      <c r="D349" s="16" t="s">
        <v>2</v>
      </c>
      <c r="E349" s="16" t="s">
        <v>65</v>
      </c>
      <c r="F349" s="16">
        <v>1</v>
      </c>
      <c r="G349" s="16" t="s">
        <v>191</v>
      </c>
      <c r="H349" s="16" t="s">
        <v>264</v>
      </c>
      <c r="I349" s="16" t="s">
        <v>273</v>
      </c>
      <c r="J349" s="18">
        <v>46079</v>
      </c>
      <c r="K349" s="18">
        <v>46079</v>
      </c>
      <c r="L349" s="19" t="str">
        <f>CONCATENATE(NETWORKDAYS(Consumo_Mensal!$J349, Consumo_Mensal!$K349)-1, " dia")</f>
        <v>0 dia</v>
      </c>
      <c r="M349" s="23">
        <f>IFERROR(Consumo_Mensal!$F349*VLOOKUP(Consumo_Mensal!$E349,TBEstoque[[DESCRIÇÃO]:[VALOR UNIT. (R$)]],7,0), 0)</f>
        <v>34.5</v>
      </c>
    </row>
    <row r="350" spans="2:13" ht="16.8" hidden="1">
      <c r="B350" s="16" t="str">
        <f>"PED-" &amp; Consumo_Mensal!$H350 &amp; "-" &amp; TEXT(Consumo_Mensal!$J350, "ddmmaa")</f>
        <v>PED-Almoxarifado Central-260226</v>
      </c>
      <c r="C350" s="15">
        <v>20857</v>
      </c>
      <c r="D350" s="16" t="s">
        <v>2</v>
      </c>
      <c r="E350" s="16" t="s">
        <v>73</v>
      </c>
      <c r="F350" s="16">
        <v>2</v>
      </c>
      <c r="G350" s="16" t="s">
        <v>67</v>
      </c>
      <c r="H350" s="16" t="s">
        <v>264</v>
      </c>
      <c r="I350" s="16" t="s">
        <v>273</v>
      </c>
      <c r="J350" s="18">
        <v>46079</v>
      </c>
      <c r="K350" s="18">
        <v>46079</v>
      </c>
      <c r="L350" s="19" t="str">
        <f>CONCATENATE(NETWORKDAYS(Consumo_Mensal!$J350, Consumo_Mensal!$K350)-1, " dia")</f>
        <v>0 dia</v>
      </c>
      <c r="M350" s="23">
        <f>IFERROR(Consumo_Mensal!$F350*VLOOKUP(Consumo_Mensal!$E350,TBEstoque[[DESCRIÇÃO]:[VALOR UNIT. (R$)]],7,0), 0)</f>
        <v>28.059999999999995</v>
      </c>
    </row>
    <row r="351" spans="2:13" ht="16.8" hidden="1">
      <c r="B351" s="16" t="str">
        <f>"PED-" &amp; Consumo_Mensal!$H351 &amp; "-" &amp; TEXT(Consumo_Mensal!$J351, "ddmmaa")</f>
        <v>PED-Almoxarifado Central-260226</v>
      </c>
      <c r="C351" s="15">
        <v>20869</v>
      </c>
      <c r="D351" s="16" t="s">
        <v>2</v>
      </c>
      <c r="E351" s="16" t="s">
        <v>38</v>
      </c>
      <c r="F351" s="16">
        <v>2</v>
      </c>
      <c r="G351" s="16" t="s">
        <v>183</v>
      </c>
      <c r="H351" s="16" t="s">
        <v>264</v>
      </c>
      <c r="I351" s="16" t="s">
        <v>273</v>
      </c>
      <c r="J351" s="18">
        <v>46079</v>
      </c>
      <c r="K351" s="18">
        <v>46079</v>
      </c>
      <c r="L351" s="19" t="str">
        <f>CONCATENATE(NETWORKDAYS(Consumo_Mensal!$J351, Consumo_Mensal!$K351)-1, " dia")</f>
        <v>0 dia</v>
      </c>
      <c r="M351" s="23">
        <f>IFERROR(Consumo_Mensal!$F351*VLOOKUP(Consumo_Mensal!$E351,TBEstoque[[DESCRIÇÃO]:[VALOR UNIT. (R$)]],7,0), 0)</f>
        <v>30.704999999999998</v>
      </c>
    </row>
    <row r="352" spans="2:13" ht="16.8" hidden="1">
      <c r="B352" s="16" t="str">
        <f>"PED-" &amp; Consumo_Mensal!$H352 &amp; "-" &amp; TEXT(Consumo_Mensal!$J352, "ddmmaa")</f>
        <v>PED-Almoxarifado Central-260226</v>
      </c>
      <c r="C352" s="15">
        <v>20880</v>
      </c>
      <c r="D352" s="20" t="s">
        <v>2</v>
      </c>
      <c r="E352" s="20" t="s">
        <v>21</v>
      </c>
      <c r="F352" s="16">
        <v>3</v>
      </c>
      <c r="G352" s="20" t="s">
        <v>186</v>
      </c>
      <c r="H352" s="16" t="s">
        <v>264</v>
      </c>
      <c r="I352" s="16" t="s">
        <v>273</v>
      </c>
      <c r="J352" s="18">
        <v>46079</v>
      </c>
      <c r="K352" s="18">
        <v>46079</v>
      </c>
      <c r="L352" s="19" t="str">
        <f>CONCATENATE(NETWORKDAYS(Consumo_Mensal!$J352, Consumo_Mensal!$K352)-1, " dia")</f>
        <v>0 dia</v>
      </c>
      <c r="M352" s="23">
        <f>IFERROR(Consumo_Mensal!$F352*VLOOKUP(Consumo_Mensal!$E352,TBEstoque[[DESCRIÇÃO]:[VALOR UNIT. (R$)]],7,0), 0)</f>
        <v>27.427500000000002</v>
      </c>
    </row>
    <row r="353" spans="2:13" ht="16.8">
      <c r="B353" s="16" t="str">
        <f>"PED-" &amp; Consumo_Mensal!$H353 &amp; "-" &amp; TEXT(Consumo_Mensal!$J353, "ddmmaa")</f>
        <v>PED-Planta Industrial - Suprimentos-270226</v>
      </c>
      <c r="C353" s="15">
        <v>20848</v>
      </c>
      <c r="D353" s="16" t="s">
        <v>2</v>
      </c>
      <c r="E353" s="16" t="s">
        <v>7</v>
      </c>
      <c r="F353" s="16">
        <v>1</v>
      </c>
      <c r="G353" s="16" t="s">
        <v>184</v>
      </c>
      <c r="H353" s="16" t="s">
        <v>258</v>
      </c>
      <c r="I353" s="16" t="s">
        <v>269</v>
      </c>
      <c r="J353" s="18">
        <v>46080</v>
      </c>
      <c r="K353" s="18">
        <v>46083</v>
      </c>
      <c r="L353" s="19" t="str">
        <f>CONCATENATE(NETWORKDAYS(Consumo_Mensal!$J353, Consumo_Mensal!$K353)-1, " dia")</f>
        <v>1 dia</v>
      </c>
      <c r="M353" s="23">
        <f>IFERROR(Consumo_Mensal!$F353*VLOOKUP(Consumo_Mensal!$E353,TBEstoque[[DESCRIÇÃO]:[VALOR UNIT. (R$)]],7,0), 0)</f>
        <v>48.93249999999999</v>
      </c>
    </row>
    <row r="354" spans="2:13" ht="16.8">
      <c r="B354" s="16" t="str">
        <f>"PED-" &amp; Consumo_Mensal!$H354 &amp; "-" &amp; TEXT(Consumo_Mensal!$J354, "ddmmaa")</f>
        <v>PED-Planta Industrial - Suprimentos-270226</v>
      </c>
      <c r="C354" s="15">
        <v>20851</v>
      </c>
      <c r="D354" s="16" t="s">
        <v>2</v>
      </c>
      <c r="E354" s="16" t="s">
        <v>13</v>
      </c>
      <c r="F354" s="16">
        <v>5</v>
      </c>
      <c r="G354" s="20" t="s">
        <v>186</v>
      </c>
      <c r="H354" s="16" t="s">
        <v>258</v>
      </c>
      <c r="I354" s="16" t="s">
        <v>269</v>
      </c>
      <c r="J354" s="18">
        <v>46080</v>
      </c>
      <c r="K354" s="18">
        <v>46083</v>
      </c>
      <c r="L354" s="19" t="str">
        <f>CONCATENATE(NETWORKDAYS(Consumo_Mensal!$J354, Consumo_Mensal!$K354)-1, " dia")</f>
        <v>1 dia</v>
      </c>
      <c r="M354" s="23">
        <f>IFERROR(Consumo_Mensal!$F354*VLOOKUP(Consumo_Mensal!$E354,TBEstoque[[DESCRIÇÃO]:[VALOR UNIT. (R$)]],7,0), 0)</f>
        <v>9.7749999999999986</v>
      </c>
    </row>
    <row r="355" spans="2:13" ht="16.8">
      <c r="B355" s="16" t="str">
        <f>"PED-" &amp; Consumo_Mensal!$H355 &amp; "-" &amp; TEXT(Consumo_Mensal!$J355, "ddmmaa")</f>
        <v>PED-Planta Industrial - Suprimentos-270226</v>
      </c>
      <c r="C355" s="15">
        <v>20852</v>
      </c>
      <c r="D355" s="16" t="s">
        <v>2</v>
      </c>
      <c r="E355" s="16" t="s">
        <v>43</v>
      </c>
      <c r="F355" s="16">
        <v>5</v>
      </c>
      <c r="G355" s="20" t="s">
        <v>186</v>
      </c>
      <c r="H355" s="16" t="s">
        <v>258</v>
      </c>
      <c r="I355" s="16" t="s">
        <v>269</v>
      </c>
      <c r="J355" s="18">
        <v>46080</v>
      </c>
      <c r="K355" s="18">
        <v>46083</v>
      </c>
      <c r="L355" s="19" t="str">
        <f>CONCATENATE(NETWORKDAYS(Consumo_Mensal!$J355, Consumo_Mensal!$K355)-1, " dia")</f>
        <v>1 dia</v>
      </c>
      <c r="M355" s="23">
        <f>IFERROR(Consumo_Mensal!$F355*VLOOKUP(Consumo_Mensal!$E355,TBEstoque[[DESCRIÇÃO]:[VALOR UNIT. (R$)]],7,0), 0)</f>
        <v>14.95</v>
      </c>
    </row>
    <row r="356" spans="2:13" ht="16.8">
      <c r="B356" s="16" t="str">
        <f>"PED-" &amp; Consumo_Mensal!$H356 &amp; "-" &amp; TEXT(Consumo_Mensal!$J356, "ddmmaa")</f>
        <v>PED-Planta Industrial - Suprimentos-270226</v>
      </c>
      <c r="C356" s="15">
        <v>20853</v>
      </c>
      <c r="D356" s="16" t="s">
        <v>2</v>
      </c>
      <c r="E356" s="16" t="s">
        <v>44</v>
      </c>
      <c r="F356" s="16">
        <v>1</v>
      </c>
      <c r="G356" s="20" t="s">
        <v>186</v>
      </c>
      <c r="H356" s="16" t="s">
        <v>258</v>
      </c>
      <c r="I356" s="16" t="s">
        <v>269</v>
      </c>
      <c r="J356" s="18">
        <v>46080</v>
      </c>
      <c r="K356" s="18">
        <v>46083</v>
      </c>
      <c r="L356" s="19" t="str">
        <f>CONCATENATE(NETWORKDAYS(Consumo_Mensal!$J356, Consumo_Mensal!$K356)-1, " dia")</f>
        <v>1 dia</v>
      </c>
      <c r="M356" s="23">
        <f>IFERROR(Consumo_Mensal!$F356*VLOOKUP(Consumo_Mensal!$E356,TBEstoque[[DESCRIÇÃO]:[VALOR UNIT. (R$)]],7,0), 0)</f>
        <v>32.602499999999999</v>
      </c>
    </row>
    <row r="357" spans="2:13" ht="16.8">
      <c r="B357" s="16" t="str">
        <f>"PED-" &amp; Consumo_Mensal!$H357 &amp; "-" &amp; TEXT(Consumo_Mensal!$J357, "ddmmaa")</f>
        <v>PED-Planta Industrial - Suprimentos-270226</v>
      </c>
      <c r="C357" s="15">
        <v>20812</v>
      </c>
      <c r="D357" s="16" t="s">
        <v>2</v>
      </c>
      <c r="E357" s="16" t="s">
        <v>17</v>
      </c>
      <c r="F357" s="16">
        <v>3</v>
      </c>
      <c r="G357" s="16" t="s">
        <v>183</v>
      </c>
      <c r="H357" s="16" t="s">
        <v>258</v>
      </c>
      <c r="I357" s="16" t="s">
        <v>269</v>
      </c>
      <c r="J357" s="18">
        <v>46080</v>
      </c>
      <c r="K357" s="18">
        <v>46083</v>
      </c>
      <c r="L357" s="19" t="str">
        <f>CONCATENATE(NETWORKDAYS(Consumo_Mensal!$J357, Consumo_Mensal!$K357)-1, " dia")</f>
        <v>1 dia</v>
      </c>
      <c r="M357" s="23">
        <f>IFERROR(Consumo_Mensal!$F357*VLOOKUP(Consumo_Mensal!$E357,TBEstoque[[DESCRIÇÃO]:[VALOR UNIT. (R$)]],7,0), 0)</f>
        <v>450.88049999999998</v>
      </c>
    </row>
    <row r="358" spans="2:13" ht="16.8">
      <c r="B358" s="16" t="str">
        <f>"PED-" &amp; Consumo_Mensal!$H358 &amp; "-" &amp; TEXT(Consumo_Mensal!$J358, "ddmmaa")</f>
        <v>PED-Planta Industrial - Suprimentos-270226</v>
      </c>
      <c r="C358" s="15">
        <v>20866</v>
      </c>
      <c r="D358" s="16" t="s">
        <v>2</v>
      </c>
      <c r="E358" s="16" t="s">
        <v>18</v>
      </c>
      <c r="F358" s="16">
        <v>3</v>
      </c>
      <c r="G358" s="16" t="s">
        <v>183</v>
      </c>
      <c r="H358" s="16" t="s">
        <v>258</v>
      </c>
      <c r="I358" s="16" t="s">
        <v>269</v>
      </c>
      <c r="J358" s="18">
        <v>46080</v>
      </c>
      <c r="K358" s="18">
        <v>46083</v>
      </c>
      <c r="L358" s="19" t="str">
        <f>CONCATENATE(NETWORKDAYS(Consumo_Mensal!$J358, Consumo_Mensal!$K358)-1, " dia")</f>
        <v>1 dia</v>
      </c>
      <c r="M358" s="23">
        <f>IFERROR(Consumo_Mensal!$F358*VLOOKUP(Consumo_Mensal!$E358,TBEstoque[[DESCRIÇÃO]:[VALOR UNIT. (R$)]],7,0), 0)</f>
        <v>174.98399999999998</v>
      </c>
    </row>
    <row r="359" spans="2:13" ht="16.8">
      <c r="B359" s="16" t="str">
        <f>"PED-" &amp; Consumo_Mensal!$H359 &amp; "-" &amp; TEXT(Consumo_Mensal!$J359, "ddmmaa")</f>
        <v>PED-Planta Industrial - Suprimentos-270226</v>
      </c>
      <c r="C359" s="15">
        <v>20813</v>
      </c>
      <c r="D359" s="16" t="s">
        <v>2</v>
      </c>
      <c r="E359" s="16" t="s">
        <v>3</v>
      </c>
      <c r="F359" s="16">
        <v>3</v>
      </c>
      <c r="G359" s="16" t="s">
        <v>183</v>
      </c>
      <c r="H359" s="16" t="s">
        <v>258</v>
      </c>
      <c r="I359" s="16" t="s">
        <v>269</v>
      </c>
      <c r="J359" s="18">
        <v>46080</v>
      </c>
      <c r="K359" s="18">
        <v>46083</v>
      </c>
      <c r="L359" s="19" t="str">
        <f>CONCATENATE(NETWORKDAYS(Consumo_Mensal!$J359, Consumo_Mensal!$K359)-1, " dia")</f>
        <v>1 dia</v>
      </c>
      <c r="M359" s="23">
        <f>IFERROR(Consumo_Mensal!$F359*VLOOKUP(Consumo_Mensal!$E359,TBEstoque[[DESCRIÇÃO]:[VALOR UNIT. (R$)]],7,0), 0)</f>
        <v>409.61850000000004</v>
      </c>
    </row>
    <row r="360" spans="2:13" ht="16.8">
      <c r="B360" s="16" t="str">
        <f>"PED-" &amp; Consumo_Mensal!$H360 &amp; "-" &amp; TEXT(Consumo_Mensal!$J360, "ddmmaa")</f>
        <v>PED-Planta Industrial - Suprimentos-270226</v>
      </c>
      <c r="C360" s="15">
        <v>20869</v>
      </c>
      <c r="D360" s="16" t="s">
        <v>2</v>
      </c>
      <c r="E360" s="16" t="s">
        <v>38</v>
      </c>
      <c r="F360" s="16">
        <v>1</v>
      </c>
      <c r="G360" s="16" t="s">
        <v>183</v>
      </c>
      <c r="H360" s="16" t="s">
        <v>258</v>
      </c>
      <c r="I360" s="16" t="s">
        <v>269</v>
      </c>
      <c r="J360" s="18">
        <v>46080</v>
      </c>
      <c r="K360" s="18">
        <v>46083</v>
      </c>
      <c r="L360" s="19" t="str">
        <f>CONCATENATE(NETWORKDAYS(Consumo_Mensal!$J360, Consumo_Mensal!$K360)-1, " dia")</f>
        <v>1 dia</v>
      </c>
      <c r="M360" s="23">
        <f>IFERROR(Consumo_Mensal!$F360*VLOOKUP(Consumo_Mensal!$E360,TBEstoque[[DESCRIÇÃO]:[VALOR UNIT. (R$)]],7,0), 0)</f>
        <v>15.352499999999999</v>
      </c>
    </row>
    <row r="361" spans="2:13" ht="16.8">
      <c r="B361" s="16" t="str">
        <f>"PED-" &amp; Consumo_Mensal!$H361 &amp; "-" &amp; TEXT(Consumo_Mensal!$J361, "ddmmaa")</f>
        <v>PED-Planta Industrial - Suprimentos-270226</v>
      </c>
      <c r="C361" s="15">
        <v>20868</v>
      </c>
      <c r="D361" s="16" t="s">
        <v>2</v>
      </c>
      <c r="E361" s="16" t="s">
        <v>39</v>
      </c>
      <c r="F361" s="16">
        <v>5</v>
      </c>
      <c r="G361" s="20" t="s">
        <v>186</v>
      </c>
      <c r="H361" s="16" t="s">
        <v>258</v>
      </c>
      <c r="I361" s="16" t="s">
        <v>269</v>
      </c>
      <c r="J361" s="18">
        <v>46080</v>
      </c>
      <c r="K361" s="18">
        <v>46083</v>
      </c>
      <c r="L361" s="19" t="str">
        <f>CONCATENATE(NETWORKDAYS(Consumo_Mensal!$J361, Consumo_Mensal!$K361)-1, " dia")</f>
        <v>1 dia</v>
      </c>
      <c r="M361" s="23">
        <f>IFERROR(Consumo_Mensal!$F361*VLOOKUP(Consumo_Mensal!$E361,TBEstoque[[DESCRIÇÃO]:[VALOR UNIT. (R$)]],7,0), 0)</f>
        <v>35.592500000000001</v>
      </c>
    </row>
    <row r="362" spans="2:13" ht="16.8">
      <c r="B362" s="16" t="str">
        <f>"PED-" &amp; Consumo_Mensal!$H362 &amp; "-" &amp; TEXT(Consumo_Mensal!$J362, "ddmmaa")</f>
        <v>PED-Planta Industrial - Suprimentos-270226</v>
      </c>
      <c r="C362" s="15">
        <v>20862</v>
      </c>
      <c r="D362" s="16" t="s">
        <v>2</v>
      </c>
      <c r="E362" s="16" t="s">
        <v>48</v>
      </c>
      <c r="F362" s="16">
        <v>10</v>
      </c>
      <c r="G362" s="20" t="s">
        <v>186</v>
      </c>
      <c r="H362" s="16" t="s">
        <v>258</v>
      </c>
      <c r="I362" s="16" t="s">
        <v>269</v>
      </c>
      <c r="J362" s="18">
        <v>46080</v>
      </c>
      <c r="K362" s="18">
        <v>46083</v>
      </c>
      <c r="L362" s="19" t="str">
        <f>CONCATENATE(NETWORKDAYS(Consumo_Mensal!$J362, Consumo_Mensal!$K362)-1, " dia")</f>
        <v>1 dia</v>
      </c>
      <c r="M362" s="23">
        <f>IFERROR(Consumo_Mensal!$F362*VLOOKUP(Consumo_Mensal!$E362,TBEstoque[[DESCRIÇÃO]:[VALOR UNIT. (R$)]],7,0), 0)</f>
        <v>60.26</v>
      </c>
    </row>
    <row r="363" spans="2:13" ht="16.8">
      <c r="B363" s="16" t="str">
        <f>"PED-" &amp; Consumo_Mensal!$H363 &amp; "-" &amp; TEXT(Consumo_Mensal!$J363, "ddmmaa")</f>
        <v>PED-Planta Industrial - Suprimentos-270226</v>
      </c>
      <c r="C363" s="15">
        <v>20863</v>
      </c>
      <c r="D363" s="16" t="s">
        <v>2</v>
      </c>
      <c r="E363" s="16" t="s">
        <v>72</v>
      </c>
      <c r="F363" s="16">
        <v>10</v>
      </c>
      <c r="G363" s="20" t="s">
        <v>186</v>
      </c>
      <c r="H363" s="16" t="s">
        <v>258</v>
      </c>
      <c r="I363" s="16" t="s">
        <v>269</v>
      </c>
      <c r="J363" s="18">
        <v>46080</v>
      </c>
      <c r="K363" s="18">
        <v>46083</v>
      </c>
      <c r="L363" s="19" t="str">
        <f>CONCATENATE(NETWORKDAYS(Consumo_Mensal!$J363, Consumo_Mensal!$K363)-1, " dia")</f>
        <v>1 dia</v>
      </c>
      <c r="M363" s="23">
        <f>IFERROR(Consumo_Mensal!$F363*VLOOKUP(Consumo_Mensal!$E363,TBEstoque[[DESCRIÇÃO]:[VALOR UNIT. (R$)]],7,0), 0)</f>
        <v>45.195</v>
      </c>
    </row>
    <row r="364" spans="2:13" ht="16.8">
      <c r="B364" s="16" t="str">
        <f>"PED-" &amp; Consumo_Mensal!$H364 &amp; "-" &amp; TEXT(Consumo_Mensal!$J364, "ddmmaa")</f>
        <v>PED-Planta Industrial - Suprimentos-270226</v>
      </c>
      <c r="C364" s="15">
        <v>20876</v>
      </c>
      <c r="D364" s="16" t="s">
        <v>2</v>
      </c>
      <c r="E364" s="16" t="s">
        <v>46</v>
      </c>
      <c r="F364" s="16">
        <v>3</v>
      </c>
      <c r="G364" s="16" t="s">
        <v>191</v>
      </c>
      <c r="H364" s="16" t="s">
        <v>258</v>
      </c>
      <c r="I364" s="16" t="s">
        <v>269</v>
      </c>
      <c r="J364" s="18">
        <v>46080</v>
      </c>
      <c r="K364" s="18">
        <v>46083</v>
      </c>
      <c r="L364" s="19" t="str">
        <f>CONCATENATE(NETWORKDAYS(Consumo_Mensal!$J364, Consumo_Mensal!$K364)-1, " dia")</f>
        <v>1 dia</v>
      </c>
      <c r="M364" s="23">
        <f>IFERROR(Consumo_Mensal!$F364*VLOOKUP(Consumo_Mensal!$E364,TBEstoque[[DESCRIÇÃO]:[VALOR UNIT. (R$)]],7,0), 0)</f>
        <v>201.82499999999999</v>
      </c>
    </row>
    <row r="365" spans="2:13" ht="16.8">
      <c r="B365" s="16" t="str">
        <f>"PED-" &amp; Consumo_Mensal!$H365 &amp; "-" &amp; TEXT(Consumo_Mensal!$J365, "ddmmaa")</f>
        <v>PED-Planta Industrial - Suprimentos-270226</v>
      </c>
      <c r="C365" s="15">
        <v>20880</v>
      </c>
      <c r="D365" s="20" t="s">
        <v>2</v>
      </c>
      <c r="E365" s="20" t="s">
        <v>21</v>
      </c>
      <c r="F365" s="16">
        <v>2</v>
      </c>
      <c r="G365" s="20" t="s">
        <v>186</v>
      </c>
      <c r="H365" s="16" t="s">
        <v>258</v>
      </c>
      <c r="I365" s="16" t="s">
        <v>269</v>
      </c>
      <c r="J365" s="18">
        <v>46080</v>
      </c>
      <c r="K365" s="18">
        <v>46083</v>
      </c>
      <c r="L365" s="19" t="str">
        <f>CONCATENATE(NETWORKDAYS(Consumo_Mensal!$J365, Consumo_Mensal!$K365)-1, " dia")</f>
        <v>1 dia</v>
      </c>
      <c r="M365" s="23">
        <f>IFERROR(Consumo_Mensal!$F365*VLOOKUP(Consumo_Mensal!$E365,TBEstoque[[DESCRIÇÃO]:[VALOR UNIT. (R$)]],7,0), 0)</f>
        <v>18.285</v>
      </c>
    </row>
    <row r="366" spans="2:13" ht="16.8" hidden="1">
      <c r="B366" s="16" t="str">
        <f>"PED-" &amp; Consumo_Mensal!$H366 &amp; "-" &amp; TEXT(Consumo_Mensal!$J366, "ddmmaa")</f>
        <v>PED-Farmácia Principal - Unidade 01-020326</v>
      </c>
      <c r="C366" s="15">
        <v>20848</v>
      </c>
      <c r="D366" s="16" t="s">
        <v>2</v>
      </c>
      <c r="E366" s="16" t="s">
        <v>7</v>
      </c>
      <c r="F366" s="16">
        <v>1</v>
      </c>
      <c r="G366" s="16" t="s">
        <v>184</v>
      </c>
      <c r="H366" s="16" t="s">
        <v>263</v>
      </c>
      <c r="I366" s="16" t="s">
        <v>266</v>
      </c>
      <c r="J366" s="18">
        <v>46083</v>
      </c>
      <c r="K366" s="18">
        <v>46083</v>
      </c>
      <c r="L366" s="19" t="str">
        <f>CONCATENATE(NETWORKDAYS(Consumo_Mensal!$J366, Consumo_Mensal!$K366)-1, " dia")</f>
        <v>0 dia</v>
      </c>
      <c r="M366" s="23">
        <f>IFERROR(Consumo_Mensal!$F366*VLOOKUP(Consumo_Mensal!$E366,TBEstoque[[DESCRIÇÃO]:[VALOR UNIT. (R$)]],7,0), 0)</f>
        <v>48.93249999999999</v>
      </c>
    </row>
    <row r="367" spans="2:13" ht="16.8" hidden="1">
      <c r="B367" s="16" t="str">
        <f>"PED-" &amp; Consumo_Mensal!$H367 &amp; "-" &amp; TEXT(Consumo_Mensal!$J367, "ddmmaa")</f>
        <v>PED-Farmácia Principal - Unidade 01-020326</v>
      </c>
      <c r="C367" s="15">
        <v>20850</v>
      </c>
      <c r="D367" s="16" t="s">
        <v>2</v>
      </c>
      <c r="E367" s="16" t="s">
        <v>42</v>
      </c>
      <c r="F367" s="16">
        <v>1</v>
      </c>
      <c r="G367" s="16" t="s">
        <v>184</v>
      </c>
      <c r="H367" s="16" t="s">
        <v>263</v>
      </c>
      <c r="I367" s="16" t="s">
        <v>266</v>
      </c>
      <c r="J367" s="18">
        <v>46083</v>
      </c>
      <c r="K367" s="18">
        <v>46083</v>
      </c>
      <c r="L367" s="19" t="str">
        <f>CONCATENATE(NETWORKDAYS(Consumo_Mensal!$J367, Consumo_Mensal!$K367)-1, " dia")</f>
        <v>0 dia</v>
      </c>
      <c r="M367" s="23">
        <f>IFERROR(Consumo_Mensal!$F367*VLOOKUP(Consumo_Mensal!$E367,TBEstoque[[DESCRIÇÃO]:[VALOR UNIT. (R$)]],7,0), 0)</f>
        <v>35.362499999999997</v>
      </c>
    </row>
    <row r="368" spans="2:13" ht="16.8" hidden="1">
      <c r="B368" s="16" t="str">
        <f>"PED-" &amp; Consumo_Mensal!$H368 &amp; "-" &amp; TEXT(Consumo_Mensal!$J368, "ddmmaa")</f>
        <v>PED-Farmácia Principal - Unidade 01-020326</v>
      </c>
      <c r="C368" s="15">
        <v>20856</v>
      </c>
      <c r="D368" s="16" t="s">
        <v>2</v>
      </c>
      <c r="E368" s="16" t="s">
        <v>68</v>
      </c>
      <c r="F368" s="16">
        <v>1</v>
      </c>
      <c r="G368" s="16" t="s">
        <v>67</v>
      </c>
      <c r="H368" s="16" t="s">
        <v>263</v>
      </c>
      <c r="I368" s="16" t="s">
        <v>266</v>
      </c>
      <c r="J368" s="18">
        <v>46083</v>
      </c>
      <c r="K368" s="18">
        <v>46083</v>
      </c>
      <c r="L368" s="19" t="str">
        <f>CONCATENATE(NETWORKDAYS(Consumo_Mensal!$J368, Consumo_Mensal!$K368)-1, " dia")</f>
        <v>0 dia</v>
      </c>
      <c r="M368" s="23">
        <f>IFERROR(Consumo_Mensal!$F368*VLOOKUP(Consumo_Mensal!$E368,TBEstoque[[DESCRIÇÃO]:[VALOR UNIT. (R$)]],7,0), 0)</f>
        <v>13.799999999999999</v>
      </c>
    </row>
    <row r="369" spans="2:13" ht="16.8" hidden="1">
      <c r="B369" s="16" t="str">
        <f>"PED-" &amp; Consumo_Mensal!$H369 &amp; "-" &amp; TEXT(Consumo_Mensal!$J369, "ddmmaa")</f>
        <v>PED-Farmácia Principal - Unidade 01-020326</v>
      </c>
      <c r="C369" s="15">
        <v>20854</v>
      </c>
      <c r="D369" s="16" t="s">
        <v>2</v>
      </c>
      <c r="E369" s="16" t="s">
        <v>81</v>
      </c>
      <c r="F369" s="16">
        <v>1</v>
      </c>
      <c r="G369" s="16" t="s">
        <v>67</v>
      </c>
      <c r="H369" s="16" t="s">
        <v>263</v>
      </c>
      <c r="I369" s="16" t="s">
        <v>266</v>
      </c>
      <c r="J369" s="18">
        <v>46083</v>
      </c>
      <c r="K369" s="18">
        <v>46083</v>
      </c>
      <c r="L369" s="19" t="str">
        <f>CONCATENATE(NETWORKDAYS(Consumo_Mensal!$J369, Consumo_Mensal!$K369)-1, " dia")</f>
        <v>0 dia</v>
      </c>
      <c r="M369" s="23">
        <f>IFERROR(Consumo_Mensal!$F369*VLOOKUP(Consumo_Mensal!$E369,TBEstoque[[DESCRIÇÃO]:[VALOR UNIT. (R$)]],7,0), 0)</f>
        <v>14.029999999999998</v>
      </c>
    </row>
    <row r="370" spans="2:13" ht="16.8" hidden="1">
      <c r="B370" s="16" t="str">
        <f>"PED-" &amp; Consumo_Mensal!$H370 &amp; "-" &amp; TEXT(Consumo_Mensal!$J370, "ddmmaa")</f>
        <v>PED-Farmácia Principal - Unidade 01-020326</v>
      </c>
      <c r="C370" s="15">
        <v>20812</v>
      </c>
      <c r="D370" s="16" t="s">
        <v>2</v>
      </c>
      <c r="E370" s="16" t="s">
        <v>17</v>
      </c>
      <c r="F370" s="16">
        <v>1</v>
      </c>
      <c r="G370" s="16" t="s">
        <v>183</v>
      </c>
      <c r="H370" s="16" t="s">
        <v>263</v>
      </c>
      <c r="I370" s="16" t="s">
        <v>266</v>
      </c>
      <c r="J370" s="18">
        <v>46083</v>
      </c>
      <c r="K370" s="18">
        <v>46083</v>
      </c>
      <c r="L370" s="19" t="str">
        <f>CONCATENATE(NETWORKDAYS(Consumo_Mensal!$J370, Consumo_Mensal!$K370)-1, " dia")</f>
        <v>0 dia</v>
      </c>
      <c r="M370" s="23">
        <f>IFERROR(Consumo_Mensal!$F370*VLOOKUP(Consumo_Mensal!$E370,TBEstoque[[DESCRIÇÃO]:[VALOR UNIT. (R$)]],7,0), 0)</f>
        <v>150.29349999999999</v>
      </c>
    </row>
    <row r="371" spans="2:13" ht="16.8" hidden="1">
      <c r="B371" s="16" t="str">
        <f>"PED-" &amp; Consumo_Mensal!$H371 &amp; "-" &amp; TEXT(Consumo_Mensal!$J371, "ddmmaa")</f>
        <v>PED-Farmácia Principal - Unidade 01-020326</v>
      </c>
      <c r="C371" s="15">
        <v>20813</v>
      </c>
      <c r="D371" s="16" t="s">
        <v>2</v>
      </c>
      <c r="E371" s="16" t="s">
        <v>3</v>
      </c>
      <c r="F371" s="16">
        <v>1</v>
      </c>
      <c r="G371" s="16" t="s">
        <v>183</v>
      </c>
      <c r="H371" s="16" t="s">
        <v>263</v>
      </c>
      <c r="I371" s="16" t="s">
        <v>266</v>
      </c>
      <c r="J371" s="18">
        <v>46083</v>
      </c>
      <c r="K371" s="18">
        <v>46083</v>
      </c>
      <c r="L371" s="19" t="str">
        <f>CONCATENATE(NETWORKDAYS(Consumo_Mensal!$J371, Consumo_Mensal!$K371)-1, " dia")</f>
        <v>0 dia</v>
      </c>
      <c r="M371" s="23">
        <f>IFERROR(Consumo_Mensal!$F371*VLOOKUP(Consumo_Mensal!$E371,TBEstoque[[DESCRIÇÃO]:[VALOR UNIT. (R$)]],7,0), 0)</f>
        <v>136.5395</v>
      </c>
    </row>
    <row r="372" spans="2:13" ht="16.8" hidden="1">
      <c r="B372" s="16" t="str">
        <f>"PED-" &amp; Consumo_Mensal!$H372 &amp; "-" &amp; TEXT(Consumo_Mensal!$J372, "ddmmaa")</f>
        <v>PED-Farmácia Principal - Unidade 01-020326</v>
      </c>
      <c r="C372" s="15">
        <v>20867</v>
      </c>
      <c r="D372" s="16" t="s">
        <v>2</v>
      </c>
      <c r="E372" s="16" t="s">
        <v>19</v>
      </c>
      <c r="F372" s="16">
        <v>9</v>
      </c>
      <c r="G372" s="20" t="s">
        <v>186</v>
      </c>
      <c r="H372" s="16" t="s">
        <v>263</v>
      </c>
      <c r="I372" s="16" t="s">
        <v>266</v>
      </c>
      <c r="J372" s="18">
        <v>46083</v>
      </c>
      <c r="K372" s="18">
        <v>46083</v>
      </c>
      <c r="L372" s="19" t="str">
        <f>CONCATENATE(NETWORKDAYS(Consumo_Mensal!$J372, Consumo_Mensal!$K372)-1, " dia")</f>
        <v>0 dia</v>
      </c>
      <c r="M372" s="23">
        <f>IFERROR(Consumo_Mensal!$F372*VLOOKUP(Consumo_Mensal!$E372,TBEstoque[[DESCRIÇÃO]:[VALOR UNIT. (R$)]],7,0), 0)</f>
        <v>17.180999999999997</v>
      </c>
    </row>
    <row r="373" spans="2:13" ht="16.8" hidden="1">
      <c r="B373" s="16" t="str">
        <f>"PED-" &amp; Consumo_Mensal!$H373 &amp; "-" &amp; TEXT(Consumo_Mensal!$J373, "ddmmaa")</f>
        <v>PED-Farmácia Principal - Unidade 01-020326</v>
      </c>
      <c r="C373" s="15">
        <v>20872</v>
      </c>
      <c r="D373" s="16" t="s">
        <v>2</v>
      </c>
      <c r="E373" s="16" t="s">
        <v>12</v>
      </c>
      <c r="F373" s="16">
        <v>1</v>
      </c>
      <c r="G373" s="16" t="s">
        <v>191</v>
      </c>
      <c r="H373" s="16" t="s">
        <v>263</v>
      </c>
      <c r="I373" s="16" t="s">
        <v>266</v>
      </c>
      <c r="J373" s="18">
        <v>46083</v>
      </c>
      <c r="K373" s="18">
        <v>46083</v>
      </c>
      <c r="L373" s="19" t="str">
        <f>CONCATENATE(NETWORKDAYS(Consumo_Mensal!$J373, Consumo_Mensal!$K373)-1, " dia")</f>
        <v>0 dia</v>
      </c>
      <c r="M373" s="23">
        <f>IFERROR(Consumo_Mensal!$F373*VLOOKUP(Consumo_Mensal!$E373,TBEstoque[[DESCRIÇÃO]:[VALOR UNIT. (R$)]],7,0), 0)</f>
        <v>97.749999999999986</v>
      </c>
    </row>
    <row r="374" spans="2:13" ht="16.8" hidden="1">
      <c r="B374" s="20" t="str">
        <f>"PED-" &amp; Consumo_Mensal!$H374 &amp; "-" &amp; TEXT(Consumo_Mensal!$J374, "ddmmaa")</f>
        <v>PED-Escritório Central - Sede-020326</v>
      </c>
      <c r="C374" s="15">
        <v>20812</v>
      </c>
      <c r="D374" s="20" t="s">
        <v>2</v>
      </c>
      <c r="E374" s="20" t="s">
        <v>17</v>
      </c>
      <c r="F374" s="20">
        <v>1</v>
      </c>
      <c r="G374" s="16" t="s">
        <v>183</v>
      </c>
      <c r="H374" s="16" t="s">
        <v>260</v>
      </c>
      <c r="I374" s="16" t="s">
        <v>271</v>
      </c>
      <c r="J374" s="21">
        <v>46083</v>
      </c>
      <c r="K374" s="18">
        <v>46083</v>
      </c>
      <c r="L374" s="19" t="str">
        <f>CONCATENATE(NETWORKDAYS(Consumo_Mensal!$J374, Consumo_Mensal!$K374)-1, " dia")</f>
        <v>0 dia</v>
      </c>
      <c r="M374" s="23">
        <f>IFERROR(Consumo_Mensal!$F374*VLOOKUP(Consumo_Mensal!$E374,TBEstoque[[DESCRIÇÃO]:[VALOR UNIT. (R$)]],7,0), 0)</f>
        <v>150.29349999999999</v>
      </c>
    </row>
    <row r="375" spans="2:13" ht="16.8" hidden="1">
      <c r="B375" s="20" t="str">
        <f>"PED-" &amp; Consumo_Mensal!$H375 &amp; "-" &amp; TEXT(Consumo_Mensal!$J375, "ddmmaa")</f>
        <v>PED-Escritório Central - Sede-020326</v>
      </c>
      <c r="C375" s="15">
        <v>20813</v>
      </c>
      <c r="D375" s="20" t="s">
        <v>2</v>
      </c>
      <c r="E375" s="20" t="s">
        <v>3</v>
      </c>
      <c r="F375" s="20">
        <v>1</v>
      </c>
      <c r="G375" s="16" t="s">
        <v>183</v>
      </c>
      <c r="H375" s="16" t="s">
        <v>260</v>
      </c>
      <c r="I375" s="16" t="s">
        <v>271</v>
      </c>
      <c r="J375" s="21">
        <v>46083</v>
      </c>
      <c r="K375" s="18">
        <v>46083</v>
      </c>
      <c r="L375" s="19" t="str">
        <f>CONCATENATE(NETWORKDAYS(Consumo_Mensal!$J375, Consumo_Mensal!$K375)-1, " dia")</f>
        <v>0 dia</v>
      </c>
      <c r="M375" s="23">
        <f>IFERROR(Consumo_Mensal!$F375*VLOOKUP(Consumo_Mensal!$E375,TBEstoque[[DESCRIÇÃO]:[VALOR UNIT. (R$)]],7,0), 0)</f>
        <v>136.5395</v>
      </c>
    </row>
    <row r="376" spans="2:13" ht="16.8" hidden="1">
      <c r="B376" s="20" t="str">
        <f>"PED-" &amp; Consumo_Mensal!$H376 &amp; "-" &amp; TEXT(Consumo_Mensal!$J376, "ddmmaa")</f>
        <v>PED-Escritório Central - Sede-020326</v>
      </c>
      <c r="C376" s="15">
        <v>20876</v>
      </c>
      <c r="D376" s="20" t="s">
        <v>2</v>
      </c>
      <c r="E376" s="20" t="s">
        <v>46</v>
      </c>
      <c r="F376" s="20">
        <v>1</v>
      </c>
      <c r="G376" s="16" t="s">
        <v>191</v>
      </c>
      <c r="H376" s="16" t="s">
        <v>260</v>
      </c>
      <c r="I376" s="16" t="s">
        <v>271</v>
      </c>
      <c r="J376" s="21">
        <v>46083</v>
      </c>
      <c r="K376" s="18">
        <v>46083</v>
      </c>
      <c r="L376" s="19" t="str">
        <f>CONCATENATE(NETWORKDAYS(Consumo_Mensal!$J376, Consumo_Mensal!$K376)-1, " dia")</f>
        <v>0 dia</v>
      </c>
      <c r="M376" s="23">
        <f>IFERROR(Consumo_Mensal!$F376*VLOOKUP(Consumo_Mensal!$E376,TBEstoque[[DESCRIÇÃO]:[VALOR UNIT. (R$)]],7,0), 0)</f>
        <v>67.274999999999991</v>
      </c>
    </row>
    <row r="377" spans="2:13" ht="16.8" hidden="1">
      <c r="B377" s="20" t="str">
        <f>"PED-" &amp; Consumo_Mensal!$H377 &amp; "-" &amp; TEXT(Consumo_Mensal!$J377, "ddmmaa")</f>
        <v>PED-Escritório Central - Sede-020326</v>
      </c>
      <c r="C377" s="15">
        <v>20879</v>
      </c>
      <c r="D377" s="20" t="s">
        <v>2</v>
      </c>
      <c r="E377" s="20" t="s">
        <v>51</v>
      </c>
      <c r="F377" s="20">
        <v>1</v>
      </c>
      <c r="G377" s="16" t="s">
        <v>191</v>
      </c>
      <c r="H377" s="16" t="s">
        <v>260</v>
      </c>
      <c r="I377" s="16" t="s">
        <v>271</v>
      </c>
      <c r="J377" s="21">
        <v>46083</v>
      </c>
      <c r="K377" s="18">
        <v>46083</v>
      </c>
      <c r="L377" s="19" t="str">
        <f>CONCATENATE(NETWORKDAYS(Consumo_Mensal!$J377, Consumo_Mensal!$K377)-1, " dia")</f>
        <v>0 dia</v>
      </c>
      <c r="M377" s="23">
        <f>IFERROR(Consumo_Mensal!$F377*VLOOKUP(Consumo_Mensal!$E377,TBEstoque[[DESCRIÇÃO]:[VALOR UNIT. (R$)]],7,0), 0)</f>
        <v>34.5</v>
      </c>
    </row>
    <row r="378" spans="2:13" ht="16.8" hidden="1">
      <c r="B378" s="20" t="str">
        <f>"PED-" &amp; Consumo_Mensal!$H378 &amp; "-" &amp; TEXT(Consumo_Mensal!$J378, "ddmmaa")</f>
        <v>PED-Escritório Central - Sede-020326</v>
      </c>
      <c r="C378" s="15">
        <v>20877</v>
      </c>
      <c r="D378" s="20" t="s">
        <v>2</v>
      </c>
      <c r="E378" s="20" t="s">
        <v>52</v>
      </c>
      <c r="F378" s="20">
        <v>1</v>
      </c>
      <c r="G378" s="16" t="s">
        <v>191</v>
      </c>
      <c r="H378" s="16" t="s">
        <v>260</v>
      </c>
      <c r="I378" s="16" t="s">
        <v>271</v>
      </c>
      <c r="J378" s="21">
        <v>46083</v>
      </c>
      <c r="K378" s="18">
        <v>46083</v>
      </c>
      <c r="L378" s="19" t="str">
        <f>CONCATENATE(NETWORKDAYS(Consumo_Mensal!$J378, Consumo_Mensal!$K378)-1, " dia")</f>
        <v>0 dia</v>
      </c>
      <c r="M378" s="23">
        <f>IFERROR(Consumo_Mensal!$F378*VLOOKUP(Consumo_Mensal!$E378,TBEstoque[[DESCRIÇÃO]:[VALOR UNIT. (R$)]],7,0), 0)</f>
        <v>24.15</v>
      </c>
    </row>
    <row r="379" spans="2:13" ht="16.8" hidden="1">
      <c r="B379" s="20" t="str">
        <f>"PED-" &amp; Consumo_Mensal!$H379 &amp; "-" &amp; TEXT(Consumo_Mensal!$J379, "ddmmaa")</f>
        <v>PED-Escritório Central - Sede-020326</v>
      </c>
      <c r="C379" s="15">
        <v>20847</v>
      </c>
      <c r="D379" s="20" t="s">
        <v>2</v>
      </c>
      <c r="E379" s="20" t="s">
        <v>6</v>
      </c>
      <c r="F379" s="20">
        <v>1</v>
      </c>
      <c r="G379" s="16" t="s">
        <v>184</v>
      </c>
      <c r="H379" s="16" t="s">
        <v>260</v>
      </c>
      <c r="I379" s="16" t="s">
        <v>271</v>
      </c>
      <c r="J379" s="21">
        <v>46083</v>
      </c>
      <c r="K379" s="18">
        <v>46083</v>
      </c>
      <c r="L379" s="19" t="str">
        <f>CONCATENATE(NETWORKDAYS(Consumo_Mensal!$J379, Consumo_Mensal!$K379)-1, " dia")</f>
        <v>0 dia</v>
      </c>
      <c r="M379" s="23">
        <f>IFERROR(Consumo_Mensal!$F379*VLOOKUP(Consumo_Mensal!$E379,TBEstoque[[DESCRIÇÃO]:[VALOR UNIT. (R$)]],7,0), 0)</f>
        <v>24.84</v>
      </c>
    </row>
    <row r="380" spans="2:13" ht="16.8" hidden="1">
      <c r="B380" s="20" t="str">
        <f>"PED-" &amp; Consumo_Mensal!$H380 &amp; "-" &amp; TEXT(Consumo_Mensal!$J380, "ddmmaa")</f>
        <v>PED-Escritório Central - Sede-020326</v>
      </c>
      <c r="C380" s="15">
        <v>20848</v>
      </c>
      <c r="D380" s="20" t="s">
        <v>2</v>
      </c>
      <c r="E380" s="20" t="s">
        <v>7</v>
      </c>
      <c r="F380" s="20">
        <v>1</v>
      </c>
      <c r="G380" s="16" t="s">
        <v>184</v>
      </c>
      <c r="H380" s="16" t="s">
        <v>260</v>
      </c>
      <c r="I380" s="16" t="s">
        <v>271</v>
      </c>
      <c r="J380" s="21">
        <v>46083</v>
      </c>
      <c r="K380" s="18">
        <v>46083</v>
      </c>
      <c r="L380" s="19" t="str">
        <f>CONCATENATE(NETWORKDAYS(Consumo_Mensal!$J380, Consumo_Mensal!$K380)-1, " dia")</f>
        <v>0 dia</v>
      </c>
      <c r="M380" s="23">
        <f>IFERROR(Consumo_Mensal!$F380*VLOOKUP(Consumo_Mensal!$E380,TBEstoque[[DESCRIÇÃO]:[VALOR UNIT. (R$)]],7,0), 0)</f>
        <v>48.93249999999999</v>
      </c>
    </row>
    <row r="381" spans="2:13" ht="16.8" hidden="1">
      <c r="B381" s="20" t="str">
        <f>"PED-" &amp; Consumo_Mensal!$H381 &amp; "-" &amp; TEXT(Consumo_Mensal!$J381, "ddmmaa")</f>
        <v>PED-Escritório Central - Sede-020326</v>
      </c>
      <c r="C381" s="15">
        <v>20851</v>
      </c>
      <c r="D381" s="20" t="s">
        <v>2</v>
      </c>
      <c r="E381" s="20" t="s">
        <v>13</v>
      </c>
      <c r="F381" s="20">
        <v>5</v>
      </c>
      <c r="G381" s="20" t="s">
        <v>186</v>
      </c>
      <c r="H381" s="16" t="s">
        <v>260</v>
      </c>
      <c r="I381" s="16" t="s">
        <v>271</v>
      </c>
      <c r="J381" s="21">
        <v>46083</v>
      </c>
      <c r="K381" s="18">
        <v>46083</v>
      </c>
      <c r="L381" s="19" t="str">
        <f>CONCATENATE(NETWORKDAYS(Consumo_Mensal!$J381, Consumo_Mensal!$K381)-1, " dia")</f>
        <v>0 dia</v>
      </c>
      <c r="M381" s="23">
        <f>IFERROR(Consumo_Mensal!$F381*VLOOKUP(Consumo_Mensal!$E381,TBEstoque[[DESCRIÇÃO]:[VALOR UNIT. (R$)]],7,0), 0)</f>
        <v>9.7749999999999986</v>
      </c>
    </row>
    <row r="382" spans="2:13" ht="16.8" hidden="1">
      <c r="B382" s="20" t="str">
        <f>"PED-" &amp; Consumo_Mensal!$H382 &amp; "-" &amp; TEXT(Consumo_Mensal!$J382, "ddmmaa")</f>
        <v>PED-Farmácia Satélite - Unidade 03-020326</v>
      </c>
      <c r="C382" s="15">
        <v>20860</v>
      </c>
      <c r="D382" s="20" t="s">
        <v>2</v>
      </c>
      <c r="E382" s="20" t="s">
        <v>66</v>
      </c>
      <c r="F382" s="20">
        <v>1</v>
      </c>
      <c r="G382" s="20" t="s">
        <v>67</v>
      </c>
      <c r="H382" s="16" t="s">
        <v>257</v>
      </c>
      <c r="I382" s="16" t="s">
        <v>285</v>
      </c>
      <c r="J382" s="21">
        <v>46083</v>
      </c>
      <c r="K382" s="21">
        <v>46084</v>
      </c>
      <c r="L382" s="19" t="str">
        <f>CONCATENATE(NETWORKDAYS(Consumo_Mensal!$J382, Consumo_Mensal!$K382)-1, " dia")</f>
        <v>1 dia</v>
      </c>
      <c r="M382" s="23">
        <f>IFERROR(Consumo_Mensal!$F382*VLOOKUP(Consumo_Mensal!$E382,TBEstoque[[DESCRIÇÃO]:[VALOR UNIT. (R$)]],7,0), 0)</f>
        <v>18.63</v>
      </c>
    </row>
    <row r="383" spans="2:13" ht="16.8" hidden="1">
      <c r="B383" s="20" t="str">
        <f>"PED-" &amp; Consumo_Mensal!$H383 &amp; "-" &amp; TEXT(Consumo_Mensal!$J383, "ddmmaa")</f>
        <v>PED-Farmácia Satélite - Unidade 03-020326</v>
      </c>
      <c r="C383" s="15">
        <v>20861</v>
      </c>
      <c r="D383" s="20" t="s">
        <v>2</v>
      </c>
      <c r="E383" s="20" t="s">
        <v>82</v>
      </c>
      <c r="F383" s="20">
        <v>1</v>
      </c>
      <c r="G383" s="20" t="s">
        <v>67</v>
      </c>
      <c r="H383" s="16" t="s">
        <v>257</v>
      </c>
      <c r="I383" s="16" t="s">
        <v>285</v>
      </c>
      <c r="J383" s="21">
        <v>46083</v>
      </c>
      <c r="K383" s="21">
        <v>46084</v>
      </c>
      <c r="L383" s="19" t="str">
        <f>CONCATENATE(NETWORKDAYS(Consumo_Mensal!$J383, Consumo_Mensal!$K383)-1, " dia")</f>
        <v>1 dia</v>
      </c>
      <c r="M383" s="23">
        <f>IFERROR(Consumo_Mensal!$F383*VLOOKUP(Consumo_Mensal!$E383,TBEstoque[[DESCRIÇÃO]:[VALOR UNIT. (R$)]],7,0), 0)</f>
        <v>18.63</v>
      </c>
    </row>
    <row r="384" spans="2:13" ht="16.8" hidden="1">
      <c r="B384" s="20" t="str">
        <f>"PED-" &amp; Consumo_Mensal!$H384 &amp; "-" &amp; TEXT(Consumo_Mensal!$J384, "ddmmaa")</f>
        <v>PED-Farmácia Satélite - Unidade 03-020326</v>
      </c>
      <c r="C384" s="15">
        <v>20848</v>
      </c>
      <c r="D384" s="20" t="s">
        <v>2</v>
      </c>
      <c r="E384" s="20" t="s">
        <v>7</v>
      </c>
      <c r="F384" s="20">
        <v>1</v>
      </c>
      <c r="G384" s="16" t="s">
        <v>184</v>
      </c>
      <c r="H384" s="16" t="s">
        <v>257</v>
      </c>
      <c r="I384" s="16" t="s">
        <v>285</v>
      </c>
      <c r="J384" s="21">
        <v>46083</v>
      </c>
      <c r="K384" s="21">
        <v>46084</v>
      </c>
      <c r="L384" s="19" t="str">
        <f>CONCATENATE(NETWORKDAYS(Consumo_Mensal!$J384, Consumo_Mensal!$K384)-1, " dia")</f>
        <v>1 dia</v>
      </c>
      <c r="M384" s="23">
        <f>IFERROR(Consumo_Mensal!$F384*VLOOKUP(Consumo_Mensal!$E384,TBEstoque[[DESCRIÇÃO]:[VALOR UNIT. (R$)]],7,0), 0)</f>
        <v>48.93249999999999</v>
      </c>
    </row>
    <row r="385" spans="2:13" ht="16.8" hidden="1">
      <c r="B385" s="20" t="str">
        <f>"PED-" &amp; Consumo_Mensal!$H385 &amp; "-" &amp; TEXT(Consumo_Mensal!$J385, "ddmmaa")</f>
        <v>PED-Farmácia Satélite - Unidade 03-020326</v>
      </c>
      <c r="C385" s="15">
        <v>20851</v>
      </c>
      <c r="D385" s="20" t="s">
        <v>2</v>
      </c>
      <c r="E385" s="20" t="s">
        <v>13</v>
      </c>
      <c r="F385" s="20">
        <v>1</v>
      </c>
      <c r="G385" s="20" t="s">
        <v>186</v>
      </c>
      <c r="H385" s="16" t="s">
        <v>257</v>
      </c>
      <c r="I385" s="16" t="s">
        <v>285</v>
      </c>
      <c r="J385" s="21">
        <v>46083</v>
      </c>
      <c r="K385" s="21">
        <v>46084</v>
      </c>
      <c r="L385" s="19" t="str">
        <f>CONCATENATE(NETWORKDAYS(Consumo_Mensal!$J385, Consumo_Mensal!$K385)-1, " dia")</f>
        <v>1 dia</v>
      </c>
      <c r="M385" s="23">
        <f>IFERROR(Consumo_Mensal!$F385*VLOOKUP(Consumo_Mensal!$E385,TBEstoque[[DESCRIÇÃO]:[VALOR UNIT. (R$)]],7,0), 0)</f>
        <v>1.9549999999999998</v>
      </c>
    </row>
    <row r="386" spans="2:13" ht="16.8" hidden="1">
      <c r="B386" s="20" t="str">
        <f>"PED-" &amp; Consumo_Mensal!$H386 &amp; "-" &amp; TEXT(Consumo_Mensal!$J386, "ddmmaa")</f>
        <v>PED-Farmácia Satélite - Unidade 03-020326</v>
      </c>
      <c r="C386" s="15">
        <v>20813</v>
      </c>
      <c r="D386" s="20" t="s">
        <v>2</v>
      </c>
      <c r="E386" s="20" t="s">
        <v>3</v>
      </c>
      <c r="F386" s="20">
        <v>1</v>
      </c>
      <c r="G386" s="16" t="s">
        <v>183</v>
      </c>
      <c r="H386" s="16" t="s">
        <v>257</v>
      </c>
      <c r="I386" s="16" t="s">
        <v>285</v>
      </c>
      <c r="J386" s="21">
        <v>46083</v>
      </c>
      <c r="K386" s="21">
        <v>46084</v>
      </c>
      <c r="L386" s="19" t="str">
        <f>CONCATENATE(NETWORKDAYS(Consumo_Mensal!$J386, Consumo_Mensal!$K386)-1, " dia")</f>
        <v>1 dia</v>
      </c>
      <c r="M386" s="23">
        <f>IFERROR(Consumo_Mensal!$F386*VLOOKUP(Consumo_Mensal!$E386,TBEstoque[[DESCRIÇÃO]:[VALOR UNIT. (R$)]],7,0), 0)</f>
        <v>136.5395</v>
      </c>
    </row>
    <row r="387" spans="2:13" ht="16.8" hidden="1">
      <c r="B387" s="20" t="str">
        <f>"PED-" &amp; Consumo_Mensal!$H387 &amp; "-" &amp; TEXT(Consumo_Mensal!$J387, "ddmmaa")</f>
        <v>PED-Farmácia Satélite - Unidade 03-020326</v>
      </c>
      <c r="C387" s="15">
        <v>20869</v>
      </c>
      <c r="D387" s="20" t="s">
        <v>2</v>
      </c>
      <c r="E387" s="20" t="s">
        <v>38</v>
      </c>
      <c r="F387" s="20">
        <v>1</v>
      </c>
      <c r="G387" s="16" t="s">
        <v>183</v>
      </c>
      <c r="H387" s="16" t="s">
        <v>257</v>
      </c>
      <c r="I387" s="16" t="s">
        <v>285</v>
      </c>
      <c r="J387" s="21">
        <v>46083</v>
      </c>
      <c r="K387" s="21">
        <v>46084</v>
      </c>
      <c r="L387" s="19" t="str">
        <f>CONCATENATE(NETWORKDAYS(Consumo_Mensal!$J387, Consumo_Mensal!$K387)-1, " dia")</f>
        <v>1 dia</v>
      </c>
      <c r="M387" s="23">
        <f>IFERROR(Consumo_Mensal!$F387*VLOOKUP(Consumo_Mensal!$E387,TBEstoque[[DESCRIÇÃO]:[VALOR UNIT. (R$)]],7,0), 0)</f>
        <v>15.352499999999999</v>
      </c>
    </row>
    <row r="388" spans="2:13" ht="16.8" hidden="1">
      <c r="B388" s="20" t="str">
        <f>"PED-" &amp; Consumo_Mensal!$H388 &amp; "-" &amp; TEXT(Consumo_Mensal!$J388, "ddmmaa")</f>
        <v>PED-Farmácia Satélite - Unidade 03-020326</v>
      </c>
      <c r="C388" s="15">
        <v>20877</v>
      </c>
      <c r="D388" s="20" t="s">
        <v>2</v>
      </c>
      <c r="E388" s="20" t="s">
        <v>52</v>
      </c>
      <c r="F388" s="20">
        <v>1</v>
      </c>
      <c r="G388" s="16" t="s">
        <v>191</v>
      </c>
      <c r="H388" s="16" t="s">
        <v>257</v>
      </c>
      <c r="I388" s="16" t="s">
        <v>285</v>
      </c>
      <c r="J388" s="21">
        <v>46083</v>
      </c>
      <c r="K388" s="21">
        <v>46084</v>
      </c>
      <c r="L388" s="19" t="str">
        <f>CONCATENATE(NETWORKDAYS(Consumo_Mensal!$J388, Consumo_Mensal!$K388)-1, " dia")</f>
        <v>1 dia</v>
      </c>
      <c r="M388" s="23">
        <f>IFERROR(Consumo_Mensal!$F388*VLOOKUP(Consumo_Mensal!$E388,TBEstoque[[DESCRIÇÃO]:[VALOR UNIT. (R$)]],7,0), 0)</f>
        <v>24.15</v>
      </c>
    </row>
    <row r="389" spans="2:13" ht="16.8" hidden="1">
      <c r="B389" s="20" t="str">
        <f>"PED-" &amp; Consumo_Mensal!$H389 &amp; "-" &amp; TEXT(Consumo_Mensal!$J389, "ddmmaa")</f>
        <v>PED-Farmácia Satélite - Unidade 03-020326</v>
      </c>
      <c r="C389" s="15">
        <v>20878</v>
      </c>
      <c r="D389" s="20" t="s">
        <v>2</v>
      </c>
      <c r="E389" s="20" t="s">
        <v>65</v>
      </c>
      <c r="F389" s="20">
        <v>1</v>
      </c>
      <c r="G389" s="16" t="s">
        <v>191</v>
      </c>
      <c r="H389" s="16" t="s">
        <v>257</v>
      </c>
      <c r="I389" s="16" t="s">
        <v>285</v>
      </c>
      <c r="J389" s="21">
        <v>46083</v>
      </c>
      <c r="K389" s="21">
        <v>46084</v>
      </c>
      <c r="L389" s="19" t="str">
        <f>CONCATENATE(NETWORKDAYS(Consumo_Mensal!$J389, Consumo_Mensal!$K389)-1, " dia")</f>
        <v>1 dia</v>
      </c>
      <c r="M389" s="23">
        <f>IFERROR(Consumo_Mensal!$F389*VLOOKUP(Consumo_Mensal!$E389,TBEstoque[[DESCRIÇÃO]:[VALOR UNIT. (R$)]],7,0), 0)</f>
        <v>34.5</v>
      </c>
    </row>
    <row r="390" spans="2:13" ht="16.8" hidden="1">
      <c r="B390" s="20" t="str">
        <f>"PED-" &amp; Consumo_Mensal!$H390 &amp; "-" &amp; TEXT(Consumo_Mensal!$J390, "ddmmaa")</f>
        <v>PED-Farmácia Satélite - Unidade 03-020326</v>
      </c>
      <c r="C390" s="15">
        <v>20872</v>
      </c>
      <c r="D390" s="20" t="s">
        <v>2</v>
      </c>
      <c r="E390" s="20" t="s">
        <v>12</v>
      </c>
      <c r="F390" s="20">
        <v>1</v>
      </c>
      <c r="G390" s="16" t="s">
        <v>191</v>
      </c>
      <c r="H390" s="16" t="s">
        <v>257</v>
      </c>
      <c r="I390" s="16" t="s">
        <v>285</v>
      </c>
      <c r="J390" s="21">
        <v>46083</v>
      </c>
      <c r="K390" s="21">
        <v>46084</v>
      </c>
      <c r="L390" s="19" t="str">
        <f>CONCATENATE(NETWORKDAYS(Consumo_Mensal!$J390, Consumo_Mensal!$K390)-1, " dia")</f>
        <v>1 dia</v>
      </c>
      <c r="M390" s="23">
        <f>IFERROR(Consumo_Mensal!$F390*VLOOKUP(Consumo_Mensal!$E390,TBEstoque[[DESCRIÇÃO]:[VALOR UNIT. (R$)]],7,0), 0)</f>
        <v>97.749999999999986</v>
      </c>
    </row>
    <row r="391" spans="2:13" ht="16.8" hidden="1">
      <c r="B391" s="16" t="str">
        <f>"PED-" &amp; Consumo_Mensal!$H391 &amp; "-" &amp; TEXT(Consumo_Mensal!$J391, "ddmmaa")</f>
        <v>PED-CD Logística - Regional ABC-030326</v>
      </c>
      <c r="C391" s="15">
        <v>20848</v>
      </c>
      <c r="D391" s="16" t="s">
        <v>2</v>
      </c>
      <c r="E391" s="16" t="s">
        <v>7</v>
      </c>
      <c r="F391" s="16">
        <v>1</v>
      </c>
      <c r="G391" s="16" t="s">
        <v>184</v>
      </c>
      <c r="H391" s="16" t="s">
        <v>255</v>
      </c>
      <c r="I391" s="16" t="s">
        <v>265</v>
      </c>
      <c r="J391" s="18">
        <v>46084</v>
      </c>
      <c r="K391" s="18">
        <v>46085</v>
      </c>
      <c r="L391" s="19" t="str">
        <f>CONCATENATE(NETWORKDAYS(Consumo_Mensal!$J391, Consumo_Mensal!$K391)-1, " dia")</f>
        <v>1 dia</v>
      </c>
      <c r="M391" s="23">
        <f>IFERROR(Consumo_Mensal!$F391*VLOOKUP(Consumo_Mensal!$E391,TBEstoque[[DESCRIÇÃO]:[VALOR UNIT. (R$)]],7,0), 0)</f>
        <v>48.93249999999999</v>
      </c>
    </row>
    <row r="392" spans="2:13" ht="16.8" hidden="1">
      <c r="B392" s="16" t="str">
        <f>"PED-" &amp; Consumo_Mensal!$H392 &amp; "-" &amp; TEXT(Consumo_Mensal!$J392, "ddmmaa")</f>
        <v>PED-CD Logística - Regional ABC-030326</v>
      </c>
      <c r="C392" s="15">
        <v>20851</v>
      </c>
      <c r="D392" s="16" t="s">
        <v>2</v>
      </c>
      <c r="E392" s="16" t="s">
        <v>13</v>
      </c>
      <c r="F392" s="16">
        <v>10</v>
      </c>
      <c r="G392" s="20" t="s">
        <v>186</v>
      </c>
      <c r="H392" s="16" t="s">
        <v>255</v>
      </c>
      <c r="I392" s="16" t="s">
        <v>265</v>
      </c>
      <c r="J392" s="18">
        <v>46084</v>
      </c>
      <c r="K392" s="18">
        <v>46085</v>
      </c>
      <c r="L392" s="19" t="str">
        <f>CONCATENATE(NETWORKDAYS(Consumo_Mensal!$J392, Consumo_Mensal!$K392)-1, " dia")</f>
        <v>1 dia</v>
      </c>
      <c r="M392" s="23">
        <f>IFERROR(Consumo_Mensal!$F392*VLOOKUP(Consumo_Mensal!$E392,TBEstoque[[DESCRIÇÃO]:[VALOR UNIT. (R$)]],7,0), 0)</f>
        <v>19.549999999999997</v>
      </c>
    </row>
    <row r="393" spans="2:13" ht="16.8" hidden="1">
      <c r="B393" s="16" t="str">
        <f>"PED-" &amp; Consumo_Mensal!$H393 &amp; "-" &amp; TEXT(Consumo_Mensal!$J393, "ddmmaa")</f>
        <v>PED-CD Logística - Regional ABC-030326</v>
      </c>
      <c r="C393" s="15">
        <v>20813</v>
      </c>
      <c r="D393" s="16" t="s">
        <v>2</v>
      </c>
      <c r="E393" s="16" t="s">
        <v>3</v>
      </c>
      <c r="F393" s="16">
        <v>1</v>
      </c>
      <c r="G393" s="20" t="s">
        <v>186</v>
      </c>
      <c r="H393" s="16" t="s">
        <v>255</v>
      </c>
      <c r="I393" s="16" t="s">
        <v>265</v>
      </c>
      <c r="J393" s="18">
        <v>46084</v>
      </c>
      <c r="K393" s="18">
        <v>46085</v>
      </c>
      <c r="L393" s="19" t="str">
        <f>CONCATENATE(NETWORKDAYS(Consumo_Mensal!$J393, Consumo_Mensal!$K393)-1, " dia")</f>
        <v>1 dia</v>
      </c>
      <c r="M393" s="23">
        <f>IFERROR(Consumo_Mensal!$F393*VLOOKUP(Consumo_Mensal!$E393,TBEstoque[[DESCRIÇÃO]:[VALOR UNIT. (R$)]],7,0), 0)</f>
        <v>136.5395</v>
      </c>
    </row>
    <row r="394" spans="2:13" ht="16.8" hidden="1">
      <c r="B394" s="16" t="str">
        <f>"PED-" &amp; Consumo_Mensal!$H394 &amp; "-" &amp; TEXT(Consumo_Mensal!$J394, "ddmmaa")</f>
        <v>PED-CD Logística - Regional ABC-030326</v>
      </c>
      <c r="C394" s="15">
        <v>20881</v>
      </c>
      <c r="D394" s="16" t="s">
        <v>2</v>
      </c>
      <c r="E394" s="16" t="s">
        <v>50</v>
      </c>
      <c r="F394" s="16">
        <v>2</v>
      </c>
      <c r="G394" s="20" t="s">
        <v>186</v>
      </c>
      <c r="H394" s="16" t="s">
        <v>255</v>
      </c>
      <c r="I394" s="16" t="s">
        <v>265</v>
      </c>
      <c r="J394" s="18">
        <v>46084</v>
      </c>
      <c r="K394" s="18">
        <v>46085</v>
      </c>
      <c r="L394" s="19" t="str">
        <f>CONCATENATE(NETWORKDAYS(Consumo_Mensal!$J394, Consumo_Mensal!$K394)-1, " dia")</f>
        <v>1 dia</v>
      </c>
      <c r="M394" s="23">
        <f>IFERROR(Consumo_Mensal!$F394*VLOOKUP(Consumo_Mensal!$E394,TBEstoque[[DESCRIÇÃO]:[VALOR UNIT. (R$)]],7,0), 0)</f>
        <v>29.968999999999998</v>
      </c>
    </row>
    <row r="395" spans="2:13" ht="16.8" hidden="1">
      <c r="B395" s="16" t="str">
        <f>"PED-" &amp; Consumo_Mensal!$H395 &amp; "-" &amp; TEXT(Consumo_Mensal!$J395, "ddmmaa")</f>
        <v>PED-CD Logística - Regional ABC-030326</v>
      </c>
      <c r="C395" s="15">
        <v>20867</v>
      </c>
      <c r="D395" s="16" t="s">
        <v>2</v>
      </c>
      <c r="E395" s="16" t="s">
        <v>19</v>
      </c>
      <c r="F395" s="16">
        <v>4</v>
      </c>
      <c r="G395" s="20" t="s">
        <v>186</v>
      </c>
      <c r="H395" s="16" t="s">
        <v>255</v>
      </c>
      <c r="I395" s="16" t="s">
        <v>265</v>
      </c>
      <c r="J395" s="18">
        <v>46084</v>
      </c>
      <c r="K395" s="18">
        <v>46085</v>
      </c>
      <c r="L395" s="19" t="str">
        <f>CONCATENATE(NETWORKDAYS(Consumo_Mensal!$J395, Consumo_Mensal!$K395)-1, " dia")</f>
        <v>1 dia</v>
      </c>
      <c r="M395" s="23">
        <f>IFERROR(Consumo_Mensal!$F395*VLOOKUP(Consumo_Mensal!$E395,TBEstoque[[DESCRIÇÃO]:[VALOR UNIT. (R$)]],7,0), 0)</f>
        <v>7.6359999999999992</v>
      </c>
    </row>
    <row r="396" spans="2:13" ht="16.8" hidden="1">
      <c r="B396" s="20" t="str">
        <f>"PED-" &amp; Consumo_Mensal!$H396 &amp; "-" &amp; TEXT(Consumo_Mensal!$J396, "ddmmaa")</f>
        <v>PED-Farmácia Satélite - Unidade 02-040326</v>
      </c>
      <c r="C396" s="15">
        <v>20866</v>
      </c>
      <c r="D396" s="20" t="s">
        <v>2</v>
      </c>
      <c r="E396" s="20" t="s">
        <v>18</v>
      </c>
      <c r="F396" s="20">
        <v>1</v>
      </c>
      <c r="G396" s="16" t="s">
        <v>183</v>
      </c>
      <c r="H396" s="16" t="s">
        <v>256</v>
      </c>
      <c r="I396" s="16" t="s">
        <v>267</v>
      </c>
      <c r="J396" s="21">
        <v>46085</v>
      </c>
      <c r="K396" s="18">
        <v>46086</v>
      </c>
      <c r="L396" s="19" t="str">
        <f>CONCATENATE(NETWORKDAYS(Consumo_Mensal!$J396, Consumo_Mensal!$K396)-1, " dia")</f>
        <v>1 dia</v>
      </c>
      <c r="M396" s="23">
        <f>IFERROR(Consumo_Mensal!$F396*VLOOKUP(Consumo_Mensal!$E396,TBEstoque[[DESCRIÇÃO]:[VALOR UNIT. (R$)]],7,0), 0)</f>
        <v>58.327999999999996</v>
      </c>
    </row>
    <row r="397" spans="2:13" ht="16.8" hidden="1">
      <c r="B397" s="20" t="str">
        <f>"PED-" &amp; Consumo_Mensal!$H397 &amp; "-" &amp; TEXT(Consumo_Mensal!$J397, "ddmmaa")</f>
        <v>PED-Farmácia Satélite - Unidade 02-040326</v>
      </c>
      <c r="C397" s="15">
        <v>20812</v>
      </c>
      <c r="D397" s="20" t="s">
        <v>2</v>
      </c>
      <c r="E397" s="20" t="s">
        <v>17</v>
      </c>
      <c r="F397" s="20">
        <v>1</v>
      </c>
      <c r="G397" s="16" t="s">
        <v>183</v>
      </c>
      <c r="H397" s="16" t="s">
        <v>256</v>
      </c>
      <c r="I397" s="16" t="s">
        <v>267</v>
      </c>
      <c r="J397" s="21">
        <v>46085</v>
      </c>
      <c r="K397" s="18">
        <v>46086</v>
      </c>
      <c r="L397" s="19" t="str">
        <f>CONCATENATE(NETWORKDAYS(Consumo_Mensal!$J397, Consumo_Mensal!$K397)-1, " dia")</f>
        <v>1 dia</v>
      </c>
      <c r="M397" s="23">
        <f>IFERROR(Consumo_Mensal!$F397*VLOOKUP(Consumo_Mensal!$E397,TBEstoque[[DESCRIÇÃO]:[VALOR UNIT. (R$)]],7,0), 0)</f>
        <v>150.29349999999999</v>
      </c>
    </row>
    <row r="398" spans="2:13" ht="16.8" hidden="1">
      <c r="B398" s="20" t="str">
        <f>"PED-" &amp; Consumo_Mensal!$H398 &amp; "-" &amp; TEXT(Consumo_Mensal!$J398, "ddmmaa")</f>
        <v>PED-Farmácia Satélite - Unidade 02-040326</v>
      </c>
      <c r="C398" s="15">
        <v>20880</v>
      </c>
      <c r="D398" s="20" t="s">
        <v>2</v>
      </c>
      <c r="E398" s="20" t="s">
        <v>21</v>
      </c>
      <c r="F398" s="20">
        <v>1</v>
      </c>
      <c r="G398" s="20" t="s">
        <v>186</v>
      </c>
      <c r="H398" s="16" t="s">
        <v>256</v>
      </c>
      <c r="I398" s="16" t="s">
        <v>267</v>
      </c>
      <c r="J398" s="21">
        <v>46085</v>
      </c>
      <c r="K398" s="18">
        <v>46086</v>
      </c>
      <c r="L398" s="19" t="str">
        <f>CONCATENATE(NETWORKDAYS(Consumo_Mensal!$J398, Consumo_Mensal!$K398)-1, " dia")</f>
        <v>1 dia</v>
      </c>
      <c r="M398" s="23">
        <f>IFERROR(Consumo_Mensal!$F398*VLOOKUP(Consumo_Mensal!$E398,TBEstoque[[DESCRIÇÃO]:[VALOR UNIT. (R$)]],7,0), 0)</f>
        <v>9.1425000000000001</v>
      </c>
    </row>
    <row r="399" spans="2:13" ht="16.8" hidden="1">
      <c r="B399" s="20" t="str">
        <f>"PED-" &amp; Consumo_Mensal!$H399 &amp; "-" &amp; TEXT(Consumo_Mensal!$J399, "ddmmaa")</f>
        <v>PED-Farmácia Satélite - Unidade 02-040326</v>
      </c>
      <c r="C399" s="15">
        <v>20849</v>
      </c>
      <c r="D399" s="20" t="s">
        <v>2</v>
      </c>
      <c r="E399" s="20" t="s">
        <v>40</v>
      </c>
      <c r="F399" s="20">
        <v>1</v>
      </c>
      <c r="G399" s="16" t="s">
        <v>184</v>
      </c>
      <c r="H399" s="16" t="s">
        <v>256</v>
      </c>
      <c r="I399" s="16" t="s">
        <v>267</v>
      </c>
      <c r="J399" s="21">
        <v>46085</v>
      </c>
      <c r="K399" s="18">
        <v>46086</v>
      </c>
      <c r="L399" s="19" t="str">
        <f>CONCATENATE(NETWORKDAYS(Consumo_Mensal!$J399, Consumo_Mensal!$K399)-1, " dia")</f>
        <v>1 dia</v>
      </c>
      <c r="M399" s="23">
        <f>IFERROR(Consumo_Mensal!$F399*VLOOKUP(Consumo_Mensal!$E399,TBEstoque[[DESCRIÇÃO]:[VALOR UNIT. (R$)]],7,0), 0)</f>
        <v>41.652999999999999</v>
      </c>
    </row>
    <row r="400" spans="2:13" ht="16.8" hidden="1">
      <c r="B400" s="20" t="str">
        <f>"PED-" &amp; Consumo_Mensal!$H400 &amp; "-" &amp; TEXT(Consumo_Mensal!$J400, "ddmmaa")</f>
        <v>PED-Farmácia Satélite - Unidade 02-040326</v>
      </c>
      <c r="C400" s="15">
        <v>20851</v>
      </c>
      <c r="D400" s="20" t="s">
        <v>2</v>
      </c>
      <c r="E400" s="20" t="s">
        <v>13</v>
      </c>
      <c r="F400" s="20">
        <v>6</v>
      </c>
      <c r="G400" s="20" t="s">
        <v>186</v>
      </c>
      <c r="H400" s="16" t="s">
        <v>256</v>
      </c>
      <c r="I400" s="16" t="s">
        <v>267</v>
      </c>
      <c r="J400" s="21">
        <v>46085</v>
      </c>
      <c r="K400" s="18">
        <v>46086</v>
      </c>
      <c r="L400" s="19" t="str">
        <f>CONCATENATE(NETWORKDAYS(Consumo_Mensal!$J400, Consumo_Mensal!$K400)-1, " dia")</f>
        <v>1 dia</v>
      </c>
      <c r="M400" s="23">
        <f>IFERROR(Consumo_Mensal!$F400*VLOOKUP(Consumo_Mensal!$E400,TBEstoque[[DESCRIÇÃO]:[VALOR UNIT. (R$)]],7,0), 0)</f>
        <v>11.729999999999999</v>
      </c>
    </row>
    <row r="401" spans="2:13" ht="16.8" hidden="1">
      <c r="B401" s="20" t="str">
        <f>"PED-" &amp; Consumo_Mensal!$H401 &amp; "-" &amp; TEXT(Consumo_Mensal!$J401, "ddmmaa")</f>
        <v>PED-Farmácia Satélite - Unidade 02-040326</v>
      </c>
      <c r="C401" s="15">
        <v>20875</v>
      </c>
      <c r="D401" s="20" t="s">
        <v>2</v>
      </c>
      <c r="E401" s="20" t="s">
        <v>20</v>
      </c>
      <c r="F401" s="20">
        <v>1</v>
      </c>
      <c r="G401" s="16" t="s">
        <v>191</v>
      </c>
      <c r="H401" s="16" t="s">
        <v>256</v>
      </c>
      <c r="I401" s="16" t="s">
        <v>267</v>
      </c>
      <c r="J401" s="21">
        <v>46085</v>
      </c>
      <c r="K401" s="18">
        <v>46086</v>
      </c>
      <c r="L401" s="19" t="str">
        <f>CONCATENATE(NETWORKDAYS(Consumo_Mensal!$J401, Consumo_Mensal!$K401)-1, " dia")</f>
        <v>1 dia</v>
      </c>
      <c r="M401" s="23">
        <f>IFERROR(Consumo_Mensal!$F401*VLOOKUP(Consumo_Mensal!$E401,TBEstoque[[DESCRIÇÃO]:[VALOR UNIT. (R$)]],7,0), 0)</f>
        <v>68.160499999999999</v>
      </c>
    </row>
    <row r="402" spans="2:13" ht="16.8" hidden="1">
      <c r="B402" s="20" t="str">
        <f>"PED-" &amp; Consumo_Mensal!$H402 &amp; "-" &amp; TEXT(Consumo_Mensal!$J402, "ddmmaa")</f>
        <v>PED-Farmácia Satélite - Unidade 02-040326</v>
      </c>
      <c r="C402" s="15">
        <v>20872</v>
      </c>
      <c r="D402" s="20" t="s">
        <v>2</v>
      </c>
      <c r="E402" s="20" t="s">
        <v>12</v>
      </c>
      <c r="F402" s="20">
        <v>1</v>
      </c>
      <c r="G402" s="16" t="s">
        <v>191</v>
      </c>
      <c r="H402" s="16" t="s">
        <v>256</v>
      </c>
      <c r="I402" s="16" t="s">
        <v>267</v>
      </c>
      <c r="J402" s="21">
        <v>46085</v>
      </c>
      <c r="K402" s="18">
        <v>46086</v>
      </c>
      <c r="L402" s="19" t="str">
        <f>CONCATENATE(NETWORKDAYS(Consumo_Mensal!$J402, Consumo_Mensal!$K402)-1, " dia")</f>
        <v>1 dia</v>
      </c>
      <c r="M402" s="23">
        <f>IFERROR(Consumo_Mensal!$F402*VLOOKUP(Consumo_Mensal!$E402,TBEstoque[[DESCRIÇÃO]:[VALOR UNIT. (R$)]],7,0), 0)</f>
        <v>97.749999999999986</v>
      </c>
    </row>
    <row r="403" spans="2:13" ht="16.8" hidden="1">
      <c r="B403" s="20" t="str">
        <f>"PED-" &amp; Consumo_Mensal!$H403 &amp; "-" &amp; TEXT(Consumo_Mensal!$J403, "ddmmaa")</f>
        <v>PED-Farmácia Satélite - Unidade 02-040326</v>
      </c>
      <c r="C403" s="15">
        <v>20876</v>
      </c>
      <c r="D403" s="20" t="s">
        <v>2</v>
      </c>
      <c r="E403" s="20" t="s">
        <v>46</v>
      </c>
      <c r="F403" s="20">
        <v>1</v>
      </c>
      <c r="G403" s="16" t="s">
        <v>191</v>
      </c>
      <c r="H403" s="16" t="s">
        <v>256</v>
      </c>
      <c r="I403" s="16" t="s">
        <v>267</v>
      </c>
      <c r="J403" s="21">
        <v>46085</v>
      </c>
      <c r="K403" s="18">
        <v>46086</v>
      </c>
      <c r="L403" s="19" t="str">
        <f>CONCATENATE(NETWORKDAYS(Consumo_Mensal!$J403, Consumo_Mensal!$K403)-1, " dia")</f>
        <v>1 dia</v>
      </c>
      <c r="M403" s="23">
        <f>IFERROR(Consumo_Mensal!$F403*VLOOKUP(Consumo_Mensal!$E403,TBEstoque[[DESCRIÇÃO]:[VALOR UNIT. (R$)]],7,0), 0)</f>
        <v>67.274999999999991</v>
      </c>
    </row>
    <row r="404" spans="2:13" ht="16.8" hidden="1">
      <c r="B404" s="20" t="str">
        <f>"PED-" &amp; Consumo_Mensal!$H404 &amp; "-" &amp; TEXT(Consumo_Mensal!$J404, "ddmmaa")</f>
        <v>PED-Farmácia Satélite - Unidade 02-040326</v>
      </c>
      <c r="C404" s="15">
        <v>20869</v>
      </c>
      <c r="D404" s="20" t="s">
        <v>2</v>
      </c>
      <c r="E404" s="20" t="s">
        <v>38</v>
      </c>
      <c r="F404" s="20">
        <v>1</v>
      </c>
      <c r="G404" s="16" t="s">
        <v>183</v>
      </c>
      <c r="H404" s="16" t="s">
        <v>256</v>
      </c>
      <c r="I404" s="16" t="s">
        <v>267</v>
      </c>
      <c r="J404" s="21">
        <v>46085</v>
      </c>
      <c r="K404" s="18">
        <v>46086</v>
      </c>
      <c r="L404" s="19" t="str">
        <f>CONCATENATE(NETWORKDAYS(Consumo_Mensal!$J404, Consumo_Mensal!$K404)-1, " dia")</f>
        <v>1 dia</v>
      </c>
      <c r="M404" s="23">
        <f>IFERROR(Consumo_Mensal!$F404*VLOOKUP(Consumo_Mensal!$E404,TBEstoque[[DESCRIÇÃO]:[VALOR UNIT. (R$)]],7,0), 0)</f>
        <v>15.352499999999999</v>
      </c>
    </row>
    <row r="405" spans="2:13" ht="16.8" hidden="1">
      <c r="B405" s="20" t="str">
        <f>"PED-" &amp; Consumo_Mensal!$H405 &amp; "-" &amp; TEXT(Consumo_Mensal!$J405, "ddmmaa")</f>
        <v>PED-Farmácia Satélite - Unidade 02-040326</v>
      </c>
      <c r="C405" s="13">
        <v>926</v>
      </c>
      <c r="D405" s="20" t="s">
        <v>2</v>
      </c>
      <c r="E405" s="20" t="s">
        <v>47</v>
      </c>
      <c r="F405" s="20">
        <v>2</v>
      </c>
      <c r="G405" s="20" t="s">
        <v>186</v>
      </c>
      <c r="H405" s="16" t="s">
        <v>256</v>
      </c>
      <c r="I405" s="16" t="s">
        <v>267</v>
      </c>
      <c r="J405" s="21">
        <v>46085</v>
      </c>
      <c r="K405" s="18">
        <v>46086</v>
      </c>
      <c r="L405" s="19" t="str">
        <f>CONCATENATE(NETWORKDAYS(Consumo_Mensal!$J405, Consumo_Mensal!$K405)-1, " dia")</f>
        <v>1 dia</v>
      </c>
      <c r="M405" s="23">
        <f>IFERROR(Consumo_Mensal!$F405*VLOOKUP(Consumo_Mensal!$E405,TBEstoque[[DESCRIÇÃO]:[VALOR UNIT. (R$)]],7,0), 0)</f>
        <v>54.854999999999997</v>
      </c>
    </row>
    <row r="406" spans="2:13" ht="16.8" hidden="1">
      <c r="B406" s="20" t="str">
        <f>"PED-" &amp; Consumo_Mensal!$H406 &amp; "-" &amp; TEXT(Consumo_Mensal!$J406, "ddmmaa")</f>
        <v>PED-Farmácia Satélite - Unidade 02-040326</v>
      </c>
      <c r="C406" s="15">
        <v>20864</v>
      </c>
      <c r="D406" s="20" t="s">
        <v>2</v>
      </c>
      <c r="E406" s="20" t="s">
        <v>86</v>
      </c>
      <c r="F406" s="20">
        <v>4</v>
      </c>
      <c r="G406" s="20" t="s">
        <v>186</v>
      </c>
      <c r="H406" s="16" t="s">
        <v>256</v>
      </c>
      <c r="I406" s="16" t="s">
        <v>267</v>
      </c>
      <c r="J406" s="21">
        <v>46085</v>
      </c>
      <c r="K406" s="18">
        <v>46086</v>
      </c>
      <c r="L406" s="19" t="str">
        <f>CONCATENATE(NETWORKDAYS(Consumo_Mensal!$J406, Consumo_Mensal!$K406)-1, " dia")</f>
        <v>1 dia</v>
      </c>
      <c r="M406" s="23">
        <f>IFERROR(Consumo_Mensal!$F406*VLOOKUP(Consumo_Mensal!$E406,TBEstoque[[DESCRIÇÃO]:[VALOR UNIT. (R$)]],7,0), 0)</f>
        <v>16.099999999999998</v>
      </c>
    </row>
    <row r="407" spans="2:13" ht="16.8" hidden="1">
      <c r="B407" s="20" t="str">
        <f>"PED-" &amp; Consumo_Mensal!$H407 &amp; "-" &amp; TEXT(Consumo_Mensal!$J407, "ddmmaa")</f>
        <v>PED-Farmácia Satélite - Unidade 02-040326</v>
      </c>
      <c r="C407" s="15">
        <v>20862</v>
      </c>
      <c r="D407" s="20" t="s">
        <v>2</v>
      </c>
      <c r="E407" s="20" t="s">
        <v>48</v>
      </c>
      <c r="F407" s="20">
        <v>6</v>
      </c>
      <c r="G407" s="20" t="s">
        <v>186</v>
      </c>
      <c r="H407" s="16" t="s">
        <v>256</v>
      </c>
      <c r="I407" s="16" t="s">
        <v>267</v>
      </c>
      <c r="J407" s="21">
        <v>46085</v>
      </c>
      <c r="K407" s="18">
        <v>46086</v>
      </c>
      <c r="L407" s="19" t="str">
        <f>CONCATENATE(NETWORKDAYS(Consumo_Mensal!$J407, Consumo_Mensal!$K407)-1, " dia")</f>
        <v>1 dia</v>
      </c>
      <c r="M407" s="23">
        <f>IFERROR(Consumo_Mensal!$F407*VLOOKUP(Consumo_Mensal!$E407,TBEstoque[[DESCRIÇÃO]:[VALOR UNIT. (R$)]],7,0), 0)</f>
        <v>36.155999999999999</v>
      </c>
    </row>
    <row r="408" spans="2:13" ht="16.8" hidden="1">
      <c r="B408" s="16" t="str">
        <f>"PED-" &amp; Consumo_Mensal!$H408 &amp; "-" &amp; TEXT(Consumo_Mensal!$J408, "ddmmaa")</f>
        <v>PED-Almoxarifado Central-050326</v>
      </c>
      <c r="C408" s="15">
        <v>20876</v>
      </c>
      <c r="D408" s="16" t="s">
        <v>2</v>
      </c>
      <c r="E408" s="16" t="s">
        <v>46</v>
      </c>
      <c r="F408" s="16">
        <v>8</v>
      </c>
      <c r="G408" s="16" t="s">
        <v>191</v>
      </c>
      <c r="H408" s="16" t="s">
        <v>264</v>
      </c>
      <c r="I408" s="16" t="s">
        <v>284</v>
      </c>
      <c r="J408" s="18">
        <v>46086</v>
      </c>
      <c r="K408" s="18">
        <v>46087</v>
      </c>
      <c r="L408" s="19" t="str">
        <f>CONCATENATE(NETWORKDAYS(Consumo_Mensal!$J408, Consumo_Mensal!$K408)-1, " dia")</f>
        <v>1 dia</v>
      </c>
      <c r="M408" s="23">
        <f>IFERROR(Consumo_Mensal!$F408*VLOOKUP(Consumo_Mensal!$E408,TBEstoque[[DESCRIÇÃO]:[VALOR UNIT. (R$)]],7,0), 0)</f>
        <v>538.19999999999993</v>
      </c>
    </row>
    <row r="409" spans="2:13" ht="16.8">
      <c r="B409" s="16" t="str">
        <f>"PED-" &amp; Consumo_Mensal!$H409 &amp; "-" &amp; TEXT(Consumo_Mensal!$J409, "ddmmaa")</f>
        <v>PED-Planta Industrial - Suprimentos-090326</v>
      </c>
      <c r="C409" s="15">
        <v>20848</v>
      </c>
      <c r="D409" s="16" t="s">
        <v>2</v>
      </c>
      <c r="E409" s="16" t="s">
        <v>7</v>
      </c>
      <c r="F409" s="16">
        <v>2</v>
      </c>
      <c r="G409" s="16" t="s">
        <v>184</v>
      </c>
      <c r="H409" s="16" t="s">
        <v>258</v>
      </c>
      <c r="I409" s="16" t="s">
        <v>269</v>
      </c>
      <c r="J409" s="18">
        <v>46090</v>
      </c>
      <c r="K409" s="18">
        <v>46090</v>
      </c>
      <c r="L409" s="19" t="str">
        <f>CONCATENATE(NETWORKDAYS(Consumo_Mensal!$J409, Consumo_Mensal!$K409)-1, " dia")</f>
        <v>0 dia</v>
      </c>
      <c r="M409" s="23">
        <f>IFERROR(Consumo_Mensal!$F409*VLOOKUP(Consumo_Mensal!$E409,TBEstoque[[DESCRIÇÃO]:[VALOR UNIT. (R$)]],7,0), 0)</f>
        <v>97.864999999999981</v>
      </c>
    </row>
    <row r="410" spans="2:13" ht="16.8">
      <c r="B410" s="16" t="str">
        <f>"PED-" &amp; Consumo_Mensal!$H410 &amp; "-" &amp; TEXT(Consumo_Mensal!$J410, "ddmmaa")</f>
        <v>PED-Planta Industrial - Suprimentos-090326</v>
      </c>
      <c r="C410" s="15">
        <v>20850</v>
      </c>
      <c r="D410" s="16" t="s">
        <v>2</v>
      </c>
      <c r="E410" s="16" t="s">
        <v>42</v>
      </c>
      <c r="F410" s="16">
        <v>1</v>
      </c>
      <c r="G410" s="16" t="s">
        <v>184</v>
      </c>
      <c r="H410" s="16" t="s">
        <v>258</v>
      </c>
      <c r="I410" s="16" t="s">
        <v>269</v>
      </c>
      <c r="J410" s="18">
        <v>46090</v>
      </c>
      <c r="K410" s="18">
        <v>46090</v>
      </c>
      <c r="L410" s="19" t="str">
        <f>CONCATENATE(NETWORKDAYS(Consumo_Mensal!$J410, Consumo_Mensal!$K410)-1, " dia")</f>
        <v>0 dia</v>
      </c>
      <c r="M410" s="23">
        <f>IFERROR(Consumo_Mensal!$F410*VLOOKUP(Consumo_Mensal!$E410,TBEstoque[[DESCRIÇÃO]:[VALOR UNIT. (R$)]],7,0), 0)</f>
        <v>35.362499999999997</v>
      </c>
    </row>
    <row r="411" spans="2:13" ht="16.8">
      <c r="B411" s="16" t="str">
        <f>"PED-" &amp; Consumo_Mensal!$H411 &amp; "-" &amp; TEXT(Consumo_Mensal!$J411, "ddmmaa")</f>
        <v>PED-Planta Industrial - Suprimentos-090326</v>
      </c>
      <c r="C411" s="15">
        <v>20851</v>
      </c>
      <c r="D411" s="16" t="s">
        <v>2</v>
      </c>
      <c r="E411" s="16" t="s">
        <v>13</v>
      </c>
      <c r="F411" s="16">
        <v>10</v>
      </c>
      <c r="G411" s="20" t="s">
        <v>186</v>
      </c>
      <c r="H411" s="16" t="s">
        <v>258</v>
      </c>
      <c r="I411" s="16" t="s">
        <v>269</v>
      </c>
      <c r="J411" s="18">
        <v>46090</v>
      </c>
      <c r="K411" s="18">
        <v>46090</v>
      </c>
      <c r="L411" s="19" t="str">
        <f>CONCATENATE(NETWORKDAYS(Consumo_Mensal!$J411, Consumo_Mensal!$K411)-1, " dia")</f>
        <v>0 dia</v>
      </c>
      <c r="M411" s="23">
        <f>IFERROR(Consumo_Mensal!$F411*VLOOKUP(Consumo_Mensal!$E411,TBEstoque[[DESCRIÇÃO]:[VALOR UNIT. (R$)]],7,0), 0)</f>
        <v>19.549999999999997</v>
      </c>
    </row>
    <row r="412" spans="2:13" ht="16.8">
      <c r="B412" s="16" t="str">
        <f>"PED-" &amp; Consumo_Mensal!$H412 &amp; "-" &amp; TEXT(Consumo_Mensal!$J412, "ddmmaa")</f>
        <v>PED-Planta Industrial - Suprimentos-090326</v>
      </c>
      <c r="C412" s="15">
        <v>20852</v>
      </c>
      <c r="D412" s="16" t="s">
        <v>2</v>
      </c>
      <c r="E412" s="16" t="s">
        <v>43</v>
      </c>
      <c r="F412" s="16">
        <v>10</v>
      </c>
      <c r="G412" s="20" t="s">
        <v>186</v>
      </c>
      <c r="H412" s="16" t="s">
        <v>258</v>
      </c>
      <c r="I412" s="16" t="s">
        <v>269</v>
      </c>
      <c r="J412" s="18">
        <v>46090</v>
      </c>
      <c r="K412" s="18">
        <v>46090</v>
      </c>
      <c r="L412" s="19" t="str">
        <f>CONCATENATE(NETWORKDAYS(Consumo_Mensal!$J412, Consumo_Mensal!$K412)-1, " dia")</f>
        <v>0 dia</v>
      </c>
      <c r="M412" s="23">
        <f>IFERROR(Consumo_Mensal!$F412*VLOOKUP(Consumo_Mensal!$E412,TBEstoque[[DESCRIÇÃO]:[VALOR UNIT. (R$)]],7,0), 0)</f>
        <v>29.9</v>
      </c>
    </row>
    <row r="413" spans="2:13" ht="16.8">
      <c r="B413" s="16" t="str">
        <f>"PED-" &amp; Consumo_Mensal!$H413 &amp; "-" &amp; TEXT(Consumo_Mensal!$J413, "ddmmaa")</f>
        <v>PED-Planta Industrial - Suprimentos-090326</v>
      </c>
      <c r="C413" s="15">
        <v>20853</v>
      </c>
      <c r="D413" s="16" t="s">
        <v>2</v>
      </c>
      <c r="E413" s="16" t="s">
        <v>44</v>
      </c>
      <c r="F413" s="16">
        <v>2</v>
      </c>
      <c r="G413" s="20" t="s">
        <v>186</v>
      </c>
      <c r="H413" s="16" t="s">
        <v>258</v>
      </c>
      <c r="I413" s="16" t="s">
        <v>269</v>
      </c>
      <c r="J413" s="18">
        <v>46090</v>
      </c>
      <c r="K413" s="18">
        <v>46090</v>
      </c>
      <c r="L413" s="19" t="str">
        <f>CONCATENATE(NETWORKDAYS(Consumo_Mensal!$J413, Consumo_Mensal!$K413)-1, " dia")</f>
        <v>0 dia</v>
      </c>
      <c r="M413" s="23">
        <f>IFERROR(Consumo_Mensal!$F413*VLOOKUP(Consumo_Mensal!$E413,TBEstoque[[DESCRIÇÃO]:[VALOR UNIT. (R$)]],7,0), 0)</f>
        <v>65.204999999999998</v>
      </c>
    </row>
    <row r="414" spans="2:13" ht="16.8">
      <c r="B414" s="16" t="str">
        <f>"PED-" &amp; Consumo_Mensal!$H414 &amp; "-" &amp; TEXT(Consumo_Mensal!$J414, "ddmmaa")</f>
        <v>PED-Planta Industrial - Suprimentos-090326</v>
      </c>
      <c r="C414" s="15">
        <v>20812</v>
      </c>
      <c r="D414" s="16" t="s">
        <v>2</v>
      </c>
      <c r="E414" s="16" t="s">
        <v>17</v>
      </c>
      <c r="F414" s="16">
        <v>2</v>
      </c>
      <c r="G414" s="16" t="s">
        <v>183</v>
      </c>
      <c r="H414" s="16" t="s">
        <v>258</v>
      </c>
      <c r="I414" s="16" t="s">
        <v>269</v>
      </c>
      <c r="J414" s="18">
        <v>46090</v>
      </c>
      <c r="K414" s="18">
        <v>46090</v>
      </c>
      <c r="L414" s="19" t="str">
        <f>CONCATENATE(NETWORKDAYS(Consumo_Mensal!$J414, Consumo_Mensal!$K414)-1, " dia")</f>
        <v>0 dia</v>
      </c>
      <c r="M414" s="23">
        <f>IFERROR(Consumo_Mensal!$F414*VLOOKUP(Consumo_Mensal!$E414,TBEstoque[[DESCRIÇÃO]:[VALOR UNIT. (R$)]],7,0), 0)</f>
        <v>300.58699999999999</v>
      </c>
    </row>
    <row r="415" spans="2:13" ht="16.8">
      <c r="B415" s="16" t="str">
        <f>"PED-" &amp; Consumo_Mensal!$H415 &amp; "-" &amp; TEXT(Consumo_Mensal!$J415, "ddmmaa")</f>
        <v>PED-Planta Industrial - Suprimentos-090326</v>
      </c>
      <c r="C415" s="15">
        <v>20866</v>
      </c>
      <c r="D415" s="16" t="s">
        <v>2</v>
      </c>
      <c r="E415" s="16" t="s">
        <v>18</v>
      </c>
      <c r="F415" s="16">
        <v>2</v>
      </c>
      <c r="G415" s="16" t="s">
        <v>183</v>
      </c>
      <c r="H415" s="16" t="s">
        <v>258</v>
      </c>
      <c r="I415" s="16" t="s">
        <v>269</v>
      </c>
      <c r="J415" s="18">
        <v>46090</v>
      </c>
      <c r="K415" s="18">
        <v>46090</v>
      </c>
      <c r="L415" s="19" t="str">
        <f>CONCATENATE(NETWORKDAYS(Consumo_Mensal!$J415, Consumo_Mensal!$K415)-1, " dia")</f>
        <v>0 dia</v>
      </c>
      <c r="M415" s="23">
        <f>IFERROR(Consumo_Mensal!$F415*VLOOKUP(Consumo_Mensal!$E415,TBEstoque[[DESCRIÇÃO]:[VALOR UNIT. (R$)]],7,0), 0)</f>
        <v>116.65599999999999</v>
      </c>
    </row>
    <row r="416" spans="2:13" ht="16.8">
      <c r="B416" s="16" t="str">
        <f>"PED-" &amp; Consumo_Mensal!$H416 &amp; "-" &amp; TEXT(Consumo_Mensal!$J416, "ddmmaa")</f>
        <v>PED-Planta Industrial - Suprimentos-090326</v>
      </c>
      <c r="C416" s="15">
        <v>20813</v>
      </c>
      <c r="D416" s="16" t="s">
        <v>2</v>
      </c>
      <c r="E416" s="16" t="s">
        <v>3</v>
      </c>
      <c r="F416" s="16">
        <v>2</v>
      </c>
      <c r="G416" s="16" t="s">
        <v>183</v>
      </c>
      <c r="H416" s="16" t="s">
        <v>258</v>
      </c>
      <c r="I416" s="16" t="s">
        <v>269</v>
      </c>
      <c r="J416" s="18">
        <v>46090</v>
      </c>
      <c r="K416" s="18">
        <v>46090</v>
      </c>
      <c r="L416" s="19" t="str">
        <f>CONCATENATE(NETWORKDAYS(Consumo_Mensal!$J416, Consumo_Mensal!$K416)-1, " dia")</f>
        <v>0 dia</v>
      </c>
      <c r="M416" s="23">
        <f>IFERROR(Consumo_Mensal!$F416*VLOOKUP(Consumo_Mensal!$E416,TBEstoque[[DESCRIÇÃO]:[VALOR UNIT. (R$)]],7,0), 0)</f>
        <v>273.07900000000001</v>
      </c>
    </row>
    <row r="417" spans="2:13" ht="16.8">
      <c r="B417" s="16" t="str">
        <f>"PED-" &amp; Consumo_Mensal!$H417 &amp; "-" &amp; TEXT(Consumo_Mensal!$J417, "ddmmaa")</f>
        <v>PED-Planta Industrial - Suprimentos-090326</v>
      </c>
      <c r="C417" s="15">
        <v>20869</v>
      </c>
      <c r="D417" s="16" t="s">
        <v>2</v>
      </c>
      <c r="E417" s="16" t="s">
        <v>38</v>
      </c>
      <c r="F417" s="16">
        <v>2</v>
      </c>
      <c r="G417" s="16" t="s">
        <v>183</v>
      </c>
      <c r="H417" s="16" t="s">
        <v>258</v>
      </c>
      <c r="I417" s="16" t="s">
        <v>269</v>
      </c>
      <c r="J417" s="18">
        <v>46090</v>
      </c>
      <c r="K417" s="18">
        <v>46090</v>
      </c>
      <c r="L417" s="19" t="str">
        <f>CONCATENATE(NETWORKDAYS(Consumo_Mensal!$J417, Consumo_Mensal!$K417)-1, " dia")</f>
        <v>0 dia</v>
      </c>
      <c r="M417" s="23">
        <f>IFERROR(Consumo_Mensal!$F417*VLOOKUP(Consumo_Mensal!$E417,TBEstoque[[DESCRIÇÃO]:[VALOR UNIT. (R$)]],7,0), 0)</f>
        <v>30.704999999999998</v>
      </c>
    </row>
    <row r="418" spans="2:13" ht="16.8">
      <c r="B418" s="16" t="str">
        <f>"PED-" &amp; Consumo_Mensal!$H418 &amp; "-" &amp; TEXT(Consumo_Mensal!$J418, "ddmmaa")</f>
        <v>PED-Planta Industrial - Suprimentos-090326</v>
      </c>
      <c r="C418" s="15">
        <v>20871</v>
      </c>
      <c r="D418" s="16" t="s">
        <v>2</v>
      </c>
      <c r="E418" s="13" t="s">
        <v>124</v>
      </c>
      <c r="F418" s="16">
        <v>2</v>
      </c>
      <c r="G418" s="16" t="s">
        <v>184</v>
      </c>
      <c r="H418" s="16" t="s">
        <v>258</v>
      </c>
      <c r="I418" s="16" t="s">
        <v>269</v>
      </c>
      <c r="J418" s="18">
        <v>46090</v>
      </c>
      <c r="K418" s="18">
        <v>46090</v>
      </c>
      <c r="L418" s="19" t="str">
        <f>CONCATENATE(NETWORKDAYS(Consumo_Mensal!$J418, Consumo_Mensal!$K418)-1, " dia")</f>
        <v>0 dia</v>
      </c>
      <c r="M418" s="23">
        <f>IFERROR(Consumo_Mensal!$F418*VLOOKUP(Consumo_Mensal!$E418,TBEstoque[[DESCRIÇÃO]:[VALOR UNIT. (R$)]],7,0), 0)</f>
        <v>77.28</v>
      </c>
    </row>
    <row r="419" spans="2:13" ht="16.8">
      <c r="B419" s="16" t="str">
        <f>"PED-" &amp; Consumo_Mensal!$H419 &amp; "-" &amp; TEXT(Consumo_Mensal!$J419, "ddmmaa")</f>
        <v>PED-Planta Industrial - Suprimentos-090326</v>
      </c>
      <c r="C419" s="15">
        <v>20862</v>
      </c>
      <c r="D419" s="16" t="s">
        <v>2</v>
      </c>
      <c r="E419" s="16" t="s">
        <v>48</v>
      </c>
      <c r="F419" s="16">
        <v>10</v>
      </c>
      <c r="G419" s="20" t="s">
        <v>186</v>
      </c>
      <c r="H419" s="16" t="s">
        <v>258</v>
      </c>
      <c r="I419" s="16" t="s">
        <v>269</v>
      </c>
      <c r="J419" s="18">
        <v>46090</v>
      </c>
      <c r="K419" s="18">
        <v>46090</v>
      </c>
      <c r="L419" s="19" t="str">
        <f>CONCATENATE(NETWORKDAYS(Consumo_Mensal!$J419, Consumo_Mensal!$K419)-1, " dia")</f>
        <v>0 dia</v>
      </c>
      <c r="M419" s="23">
        <f>IFERROR(Consumo_Mensal!$F419*VLOOKUP(Consumo_Mensal!$E419,TBEstoque[[DESCRIÇÃO]:[VALOR UNIT. (R$)]],7,0), 0)</f>
        <v>60.26</v>
      </c>
    </row>
    <row r="420" spans="2:13" ht="16.8">
      <c r="B420" s="16" t="str">
        <f>"PED-" &amp; Consumo_Mensal!$H420 &amp; "-" &amp; TEXT(Consumo_Mensal!$J420, "ddmmaa")</f>
        <v>PED-Planta Industrial - Suprimentos-090326</v>
      </c>
      <c r="C420" s="15">
        <v>20863</v>
      </c>
      <c r="D420" s="16" t="s">
        <v>2</v>
      </c>
      <c r="E420" s="16" t="s">
        <v>72</v>
      </c>
      <c r="F420" s="16">
        <v>10</v>
      </c>
      <c r="G420" s="20" t="s">
        <v>186</v>
      </c>
      <c r="H420" s="16" t="s">
        <v>258</v>
      </c>
      <c r="I420" s="16" t="s">
        <v>269</v>
      </c>
      <c r="J420" s="18">
        <v>46090</v>
      </c>
      <c r="K420" s="18">
        <v>46090</v>
      </c>
      <c r="L420" s="19" t="str">
        <f>CONCATENATE(NETWORKDAYS(Consumo_Mensal!$J420, Consumo_Mensal!$K420)-1, " dia")</f>
        <v>0 dia</v>
      </c>
      <c r="M420" s="23">
        <f>IFERROR(Consumo_Mensal!$F420*VLOOKUP(Consumo_Mensal!$E420,TBEstoque[[DESCRIÇÃO]:[VALOR UNIT. (R$)]],7,0), 0)</f>
        <v>45.195</v>
      </c>
    </row>
    <row r="421" spans="2:13" ht="16.8">
      <c r="B421" s="16" t="str">
        <f>"PED-" &amp; Consumo_Mensal!$H421 &amp; "-" &amp; TEXT(Consumo_Mensal!$J421, "ddmmaa")</f>
        <v>PED-Planta Industrial - Suprimentos-090326</v>
      </c>
      <c r="C421" s="15">
        <v>20876</v>
      </c>
      <c r="D421" s="16" t="s">
        <v>2</v>
      </c>
      <c r="E421" s="16" t="s">
        <v>46</v>
      </c>
      <c r="F421" s="16">
        <v>4</v>
      </c>
      <c r="G421" s="16" t="s">
        <v>191</v>
      </c>
      <c r="H421" s="16" t="s">
        <v>258</v>
      </c>
      <c r="I421" s="16" t="s">
        <v>269</v>
      </c>
      <c r="J421" s="18">
        <v>46090</v>
      </c>
      <c r="K421" s="18">
        <v>46090</v>
      </c>
      <c r="L421" s="19" t="str">
        <f>CONCATENATE(NETWORKDAYS(Consumo_Mensal!$J421, Consumo_Mensal!$K421)-1, " dia")</f>
        <v>0 dia</v>
      </c>
      <c r="M421" s="23">
        <f>IFERROR(Consumo_Mensal!$F421*VLOOKUP(Consumo_Mensal!$E421,TBEstoque[[DESCRIÇÃO]:[VALOR UNIT. (R$)]],7,0), 0)</f>
        <v>269.09999999999997</v>
      </c>
    </row>
    <row r="422" spans="2:13" ht="16.8">
      <c r="B422" s="16" t="str">
        <f>"PED-" &amp; Consumo_Mensal!$H422 &amp; "-" &amp; TEXT(Consumo_Mensal!$J422, "ddmmaa")</f>
        <v>PED-Planta Industrial - Suprimentos-090326</v>
      </c>
      <c r="C422" s="15">
        <v>20880</v>
      </c>
      <c r="D422" s="20" t="s">
        <v>2</v>
      </c>
      <c r="E422" s="20" t="s">
        <v>21</v>
      </c>
      <c r="F422" s="16">
        <v>2</v>
      </c>
      <c r="G422" s="20" t="s">
        <v>186</v>
      </c>
      <c r="H422" s="16" t="s">
        <v>258</v>
      </c>
      <c r="I422" s="16" t="s">
        <v>269</v>
      </c>
      <c r="J422" s="18">
        <v>46090</v>
      </c>
      <c r="K422" s="18">
        <v>46090</v>
      </c>
      <c r="L422" s="19" t="str">
        <f>CONCATENATE(NETWORKDAYS(Consumo_Mensal!$J422, Consumo_Mensal!$K422)-1, " dia")</f>
        <v>0 dia</v>
      </c>
      <c r="M422" s="23">
        <f>IFERROR(Consumo_Mensal!$F422*VLOOKUP(Consumo_Mensal!$E422,TBEstoque[[DESCRIÇÃO]:[VALOR UNIT. (R$)]],7,0), 0)</f>
        <v>18.285</v>
      </c>
    </row>
    <row r="423" spans="2:13" ht="16.8" hidden="1">
      <c r="B423" s="16" t="str">
        <f>"PED-" &amp; Consumo_Mensal!$H423 &amp; "-" &amp; TEXT(Consumo_Mensal!$J423, "ddmmaa")</f>
        <v>PED-Almoxarifado Central-090326</v>
      </c>
      <c r="C423" s="15">
        <v>20812</v>
      </c>
      <c r="D423" s="16" t="s">
        <v>2</v>
      </c>
      <c r="E423" s="16" t="s">
        <v>17</v>
      </c>
      <c r="F423" s="16">
        <v>2</v>
      </c>
      <c r="G423" s="16" t="s">
        <v>183</v>
      </c>
      <c r="H423" s="16" t="s">
        <v>264</v>
      </c>
      <c r="I423" s="16" t="s">
        <v>284</v>
      </c>
      <c r="J423" s="18">
        <v>46090</v>
      </c>
      <c r="K423" s="18">
        <v>46090</v>
      </c>
      <c r="L423" s="19" t="str">
        <f>CONCATENATE(NETWORKDAYS(Consumo_Mensal!$J423, Consumo_Mensal!$K423)-1, " dia")</f>
        <v>0 dia</v>
      </c>
      <c r="M423" s="23">
        <f>IFERROR(Consumo_Mensal!$F423*VLOOKUP(Consumo_Mensal!$E423,TBEstoque[[DESCRIÇÃO]:[VALOR UNIT. (R$)]],7,0), 0)</f>
        <v>300.58699999999999</v>
      </c>
    </row>
    <row r="424" spans="2:13" ht="16.8" hidden="1">
      <c r="B424" s="16" t="str">
        <f>"PED-" &amp; Consumo_Mensal!$H424 &amp; "-" &amp; TEXT(Consumo_Mensal!$J424, "ddmmaa")</f>
        <v>PED-Farmácia Principal - Unidade 01-090326</v>
      </c>
      <c r="C424" s="15">
        <v>20848</v>
      </c>
      <c r="D424" s="16" t="s">
        <v>2</v>
      </c>
      <c r="E424" s="16" t="s">
        <v>7</v>
      </c>
      <c r="F424" s="16">
        <v>1</v>
      </c>
      <c r="G424" s="16" t="s">
        <v>184</v>
      </c>
      <c r="H424" s="16" t="s">
        <v>263</v>
      </c>
      <c r="I424" s="16" t="s">
        <v>266</v>
      </c>
      <c r="J424" s="18">
        <v>46090</v>
      </c>
      <c r="K424" s="18">
        <v>46090</v>
      </c>
      <c r="L424" s="19" t="str">
        <f>CONCATENATE(NETWORKDAYS(Consumo_Mensal!$J424, Consumo_Mensal!$K424)-1, " dia")</f>
        <v>0 dia</v>
      </c>
      <c r="M424" s="23">
        <f>IFERROR(Consumo_Mensal!$F424*VLOOKUP(Consumo_Mensal!$E424,TBEstoque[[DESCRIÇÃO]:[VALOR UNIT. (R$)]],7,0), 0)</f>
        <v>48.93249999999999</v>
      </c>
    </row>
    <row r="425" spans="2:13" ht="16.8" hidden="1">
      <c r="B425" s="16" t="str">
        <f>"PED-" &amp; Consumo_Mensal!$H425 &amp; "-" &amp; TEXT(Consumo_Mensal!$J425, "ddmmaa")</f>
        <v>PED-Farmácia Principal - Unidade 01-090326</v>
      </c>
      <c r="C425" s="15">
        <v>20812</v>
      </c>
      <c r="D425" s="16" t="s">
        <v>2</v>
      </c>
      <c r="E425" s="16" t="s">
        <v>17</v>
      </c>
      <c r="F425" s="16">
        <v>1</v>
      </c>
      <c r="G425" s="16" t="s">
        <v>183</v>
      </c>
      <c r="H425" s="16" t="s">
        <v>263</v>
      </c>
      <c r="I425" s="16" t="s">
        <v>266</v>
      </c>
      <c r="J425" s="18">
        <v>46090</v>
      </c>
      <c r="K425" s="18">
        <v>46090</v>
      </c>
      <c r="L425" s="19" t="str">
        <f>CONCATENATE(NETWORKDAYS(Consumo_Mensal!$J425, Consumo_Mensal!$K425)-1, " dia")</f>
        <v>0 dia</v>
      </c>
      <c r="M425" s="23">
        <f>IFERROR(Consumo_Mensal!$F425*VLOOKUP(Consumo_Mensal!$E425,TBEstoque[[DESCRIÇÃO]:[VALOR UNIT. (R$)]],7,0), 0)</f>
        <v>150.29349999999999</v>
      </c>
    </row>
    <row r="426" spans="2:13" ht="16.8" hidden="1">
      <c r="B426" s="16" t="str">
        <f>"PED-" &amp; Consumo_Mensal!$H426 &amp; "-" &amp; TEXT(Consumo_Mensal!$J426, "ddmmaa")</f>
        <v>PED-Farmácia Principal - Unidade 01-090326</v>
      </c>
      <c r="C426" s="15">
        <v>20866</v>
      </c>
      <c r="D426" s="16" t="s">
        <v>2</v>
      </c>
      <c r="E426" s="16" t="s">
        <v>18</v>
      </c>
      <c r="F426" s="16">
        <v>2</v>
      </c>
      <c r="G426" s="16" t="s">
        <v>183</v>
      </c>
      <c r="H426" s="16" t="s">
        <v>263</v>
      </c>
      <c r="I426" s="16" t="s">
        <v>266</v>
      </c>
      <c r="J426" s="18">
        <v>46090</v>
      </c>
      <c r="K426" s="18">
        <v>46090</v>
      </c>
      <c r="L426" s="19" t="str">
        <f>CONCATENATE(NETWORKDAYS(Consumo_Mensal!$J426, Consumo_Mensal!$K426)-1, " dia")</f>
        <v>0 dia</v>
      </c>
      <c r="M426" s="23">
        <f>IFERROR(Consumo_Mensal!$F426*VLOOKUP(Consumo_Mensal!$E426,TBEstoque[[DESCRIÇÃO]:[VALOR UNIT. (R$)]],7,0), 0)</f>
        <v>116.65599999999999</v>
      </c>
    </row>
    <row r="427" spans="2:13" ht="16.8" hidden="1">
      <c r="B427" s="16" t="str">
        <f>"PED-" &amp; Consumo_Mensal!$H427 &amp; "-" &amp; TEXT(Consumo_Mensal!$J427, "ddmmaa")</f>
        <v>PED-Farmácia Principal - Unidade 01-090326</v>
      </c>
      <c r="C427" s="15">
        <v>20813</v>
      </c>
      <c r="D427" s="16" t="s">
        <v>2</v>
      </c>
      <c r="E427" s="16" t="s">
        <v>3</v>
      </c>
      <c r="F427" s="16">
        <v>1</v>
      </c>
      <c r="G427" s="16" t="s">
        <v>183</v>
      </c>
      <c r="H427" s="16" t="s">
        <v>263</v>
      </c>
      <c r="I427" s="16" t="s">
        <v>266</v>
      </c>
      <c r="J427" s="18">
        <v>46090</v>
      </c>
      <c r="K427" s="18">
        <v>46090</v>
      </c>
      <c r="L427" s="19" t="str">
        <f>CONCATENATE(NETWORKDAYS(Consumo_Mensal!$J427, Consumo_Mensal!$K427)-1, " dia")</f>
        <v>0 dia</v>
      </c>
      <c r="M427" s="23">
        <f>IFERROR(Consumo_Mensal!$F427*VLOOKUP(Consumo_Mensal!$E427,TBEstoque[[DESCRIÇÃO]:[VALOR UNIT. (R$)]],7,0), 0)</f>
        <v>136.5395</v>
      </c>
    </row>
    <row r="428" spans="2:13" ht="16.8" hidden="1">
      <c r="B428" s="16" t="str">
        <f>"PED-" &amp; Consumo_Mensal!$H428 &amp; "-" &amp; TEXT(Consumo_Mensal!$J428, "ddmmaa")</f>
        <v>PED-Farmácia Principal - Unidade 01-090326</v>
      </c>
      <c r="C428" s="15">
        <v>20867</v>
      </c>
      <c r="D428" s="16" t="s">
        <v>2</v>
      </c>
      <c r="E428" s="16" t="s">
        <v>19</v>
      </c>
      <c r="F428" s="16">
        <v>12</v>
      </c>
      <c r="G428" s="20" t="s">
        <v>186</v>
      </c>
      <c r="H428" s="16" t="s">
        <v>263</v>
      </c>
      <c r="I428" s="16" t="s">
        <v>266</v>
      </c>
      <c r="J428" s="18">
        <v>46090</v>
      </c>
      <c r="K428" s="18">
        <v>46090</v>
      </c>
      <c r="L428" s="19" t="str">
        <f>CONCATENATE(NETWORKDAYS(Consumo_Mensal!$J428, Consumo_Mensal!$K428)-1, " dia")</f>
        <v>0 dia</v>
      </c>
      <c r="M428" s="23">
        <f>IFERROR(Consumo_Mensal!$F428*VLOOKUP(Consumo_Mensal!$E428,TBEstoque[[DESCRIÇÃO]:[VALOR UNIT. (R$)]],7,0), 0)</f>
        <v>22.907999999999998</v>
      </c>
    </row>
    <row r="429" spans="2:13" ht="16.8" hidden="1">
      <c r="B429" s="16" t="str">
        <f>"PED-" &amp; Consumo_Mensal!$H429 &amp; "-" &amp; TEXT(Consumo_Mensal!$J429, "ddmmaa")</f>
        <v>PED-Farmácia Principal - Unidade 01-090326</v>
      </c>
      <c r="C429" s="15">
        <v>20880</v>
      </c>
      <c r="D429" s="20" t="s">
        <v>2</v>
      </c>
      <c r="E429" s="20" t="s">
        <v>21</v>
      </c>
      <c r="F429" s="16">
        <v>2</v>
      </c>
      <c r="G429" s="20" t="s">
        <v>186</v>
      </c>
      <c r="H429" s="16" t="s">
        <v>263</v>
      </c>
      <c r="I429" s="16" t="s">
        <v>266</v>
      </c>
      <c r="J429" s="18">
        <v>46090</v>
      </c>
      <c r="K429" s="18">
        <v>46090</v>
      </c>
      <c r="L429" s="19" t="str">
        <f>CONCATENATE(NETWORKDAYS(Consumo_Mensal!$J429, Consumo_Mensal!$K429)-1, " dia")</f>
        <v>0 dia</v>
      </c>
      <c r="M429" s="23">
        <f>IFERROR(Consumo_Mensal!$F429*VLOOKUP(Consumo_Mensal!$E429,TBEstoque[[DESCRIÇÃO]:[VALOR UNIT. (R$)]],7,0), 0)</f>
        <v>18.285</v>
      </c>
    </row>
    <row r="430" spans="2:13" ht="16.8" hidden="1">
      <c r="B430" s="16" t="str">
        <f>"PED-" &amp; Consumo_Mensal!$H430 &amp; "-" &amp; TEXT(Consumo_Mensal!$J430, "ddmmaa")</f>
        <v>PED-Centro de Distribuição - Áragon-090326</v>
      </c>
      <c r="C430" s="15">
        <v>20851</v>
      </c>
      <c r="D430" s="16" t="s">
        <v>2</v>
      </c>
      <c r="E430" s="16" t="s">
        <v>13</v>
      </c>
      <c r="F430" s="16">
        <v>3</v>
      </c>
      <c r="G430" s="20" t="s">
        <v>186</v>
      </c>
      <c r="H430" s="16" t="s">
        <v>286</v>
      </c>
      <c r="I430" s="16" t="s">
        <v>283</v>
      </c>
      <c r="J430" s="18">
        <v>46090</v>
      </c>
      <c r="K430" s="18">
        <v>46090</v>
      </c>
      <c r="L430" s="19" t="str">
        <f>CONCATENATE(NETWORKDAYS(Consumo_Mensal!$J430, Consumo_Mensal!$K430)-1, " dia")</f>
        <v>0 dia</v>
      </c>
      <c r="M430" s="23">
        <f>IFERROR(Consumo_Mensal!$F430*VLOOKUP(Consumo_Mensal!$E430,TBEstoque[[DESCRIÇÃO]:[VALOR UNIT. (R$)]],7,0), 0)</f>
        <v>5.8649999999999993</v>
      </c>
    </row>
    <row r="431" spans="2:13" ht="16.8" hidden="1">
      <c r="B431" s="16" t="str">
        <f>"PED-" &amp; Consumo_Mensal!$H431 &amp; "-" &amp; TEXT(Consumo_Mensal!$J431, "ddmmaa")</f>
        <v>PED-Centro de Distribuição - Áragon-090326</v>
      </c>
      <c r="C431" s="15">
        <v>20847</v>
      </c>
      <c r="D431" s="16" t="s">
        <v>2</v>
      </c>
      <c r="E431" s="16" t="s">
        <v>6</v>
      </c>
      <c r="F431" s="16">
        <v>1</v>
      </c>
      <c r="G431" s="16" t="s">
        <v>184</v>
      </c>
      <c r="H431" s="16" t="s">
        <v>286</v>
      </c>
      <c r="I431" s="16" t="s">
        <v>283</v>
      </c>
      <c r="J431" s="18">
        <v>46090</v>
      </c>
      <c r="K431" s="18">
        <v>46090</v>
      </c>
      <c r="L431" s="19" t="str">
        <f>CONCATENATE(NETWORKDAYS(Consumo_Mensal!$J431, Consumo_Mensal!$K431)-1, " dia")</f>
        <v>0 dia</v>
      </c>
      <c r="M431" s="23">
        <f>IFERROR(Consumo_Mensal!$F431*VLOOKUP(Consumo_Mensal!$E431,TBEstoque[[DESCRIÇÃO]:[VALOR UNIT. (R$)]],7,0), 0)</f>
        <v>24.84</v>
      </c>
    </row>
    <row r="432" spans="2:13" ht="16.8" hidden="1">
      <c r="B432" s="16" t="str">
        <f>"PED-" &amp; Consumo_Mensal!$H432 &amp; "-" &amp; TEXT(Consumo_Mensal!$J432, "ddmmaa")</f>
        <v>PED-Centro de Distribuição - Áragon-090326</v>
      </c>
      <c r="C432" s="15">
        <v>20848</v>
      </c>
      <c r="D432" s="16" t="s">
        <v>2</v>
      </c>
      <c r="E432" s="16" t="s">
        <v>7</v>
      </c>
      <c r="F432" s="16">
        <v>1</v>
      </c>
      <c r="G432" s="16" t="s">
        <v>184</v>
      </c>
      <c r="H432" s="16" t="s">
        <v>286</v>
      </c>
      <c r="I432" s="16" t="s">
        <v>283</v>
      </c>
      <c r="J432" s="18">
        <v>46090</v>
      </c>
      <c r="K432" s="18">
        <v>46090</v>
      </c>
      <c r="L432" s="19" t="str">
        <f>CONCATENATE(NETWORKDAYS(Consumo_Mensal!$J432, Consumo_Mensal!$K432)-1, " dia")</f>
        <v>0 dia</v>
      </c>
      <c r="M432" s="23">
        <f>IFERROR(Consumo_Mensal!$F432*VLOOKUP(Consumo_Mensal!$E432,TBEstoque[[DESCRIÇÃO]:[VALOR UNIT. (R$)]],7,0), 0)</f>
        <v>48.93249999999999</v>
      </c>
    </row>
    <row r="433" spans="2:13" ht="16.8" hidden="1">
      <c r="B433" s="16" t="str">
        <f>"PED-" &amp; Consumo_Mensal!$H433 &amp; "-" &amp; TEXT(Consumo_Mensal!$J433, "ddmmaa")</f>
        <v>PED-Centro de Distribuição - Áragon-090326</v>
      </c>
      <c r="C433" s="15">
        <v>20880</v>
      </c>
      <c r="D433" s="20" t="s">
        <v>2</v>
      </c>
      <c r="E433" s="20" t="s">
        <v>21</v>
      </c>
      <c r="F433" s="16">
        <v>2</v>
      </c>
      <c r="G433" s="20" t="s">
        <v>186</v>
      </c>
      <c r="H433" s="16" t="s">
        <v>286</v>
      </c>
      <c r="I433" s="16" t="s">
        <v>283</v>
      </c>
      <c r="J433" s="18">
        <v>46090</v>
      </c>
      <c r="K433" s="18">
        <v>46090</v>
      </c>
      <c r="L433" s="19" t="str">
        <f>CONCATENATE(NETWORKDAYS(Consumo_Mensal!$J433, Consumo_Mensal!$K433)-1, " dia")</f>
        <v>0 dia</v>
      </c>
      <c r="M433" s="23">
        <f>IFERROR(Consumo_Mensal!$F433*VLOOKUP(Consumo_Mensal!$E433,TBEstoque[[DESCRIÇÃO]:[VALOR UNIT. (R$)]],7,0), 0)</f>
        <v>18.285</v>
      </c>
    </row>
    <row r="434" spans="2:13" ht="16.8" hidden="1">
      <c r="B434" s="16" t="str">
        <f>"PED-" &amp; Consumo_Mensal!$H434 &amp; "-" &amp; TEXT(Consumo_Mensal!$J434, "ddmmaa")</f>
        <v>PED-Centro de Distribuição - Áragon-090326</v>
      </c>
      <c r="C434" s="15">
        <v>20813</v>
      </c>
      <c r="D434" s="16" t="s">
        <v>2</v>
      </c>
      <c r="E434" s="16" t="s">
        <v>3</v>
      </c>
      <c r="F434" s="16">
        <v>1</v>
      </c>
      <c r="G434" s="16" t="s">
        <v>183</v>
      </c>
      <c r="H434" s="16" t="s">
        <v>286</v>
      </c>
      <c r="I434" s="16" t="s">
        <v>283</v>
      </c>
      <c r="J434" s="18">
        <v>46090</v>
      </c>
      <c r="K434" s="18">
        <v>46090</v>
      </c>
      <c r="L434" s="19" t="str">
        <f>CONCATENATE(NETWORKDAYS(Consumo_Mensal!$J434, Consumo_Mensal!$K434)-1, " dia")</f>
        <v>0 dia</v>
      </c>
      <c r="M434" s="23">
        <f>IFERROR(Consumo_Mensal!$F434*VLOOKUP(Consumo_Mensal!$E434,TBEstoque[[DESCRIÇÃO]:[VALOR UNIT. (R$)]],7,0), 0)</f>
        <v>136.5395</v>
      </c>
    </row>
    <row r="435" spans="2:13" ht="16.8" hidden="1">
      <c r="B435" s="16" t="str">
        <f>"PED-" &amp; Consumo_Mensal!$H435 &amp; "-" &amp; TEXT(Consumo_Mensal!$J435, "ddmmaa")</f>
        <v>PED-Centro de Distribuição - Áragon-090326</v>
      </c>
      <c r="C435" s="15">
        <v>20879</v>
      </c>
      <c r="D435" s="16" t="s">
        <v>2</v>
      </c>
      <c r="E435" s="16" t="s">
        <v>51</v>
      </c>
      <c r="F435" s="16">
        <v>2</v>
      </c>
      <c r="G435" s="16" t="s">
        <v>191</v>
      </c>
      <c r="H435" s="16" t="s">
        <v>286</v>
      </c>
      <c r="I435" s="16" t="s">
        <v>283</v>
      </c>
      <c r="J435" s="18">
        <v>46090</v>
      </c>
      <c r="K435" s="18">
        <v>46090</v>
      </c>
      <c r="L435" s="19" t="str">
        <f>CONCATENATE(NETWORKDAYS(Consumo_Mensal!$J435, Consumo_Mensal!$K435)-1, " dia")</f>
        <v>0 dia</v>
      </c>
      <c r="M435" s="23">
        <f>IFERROR(Consumo_Mensal!$F435*VLOOKUP(Consumo_Mensal!$E435,TBEstoque[[DESCRIÇÃO]:[VALOR UNIT. (R$)]],7,0), 0)</f>
        <v>69</v>
      </c>
    </row>
    <row r="436" spans="2:13" ht="16.8" hidden="1">
      <c r="B436" s="16" t="str">
        <f>"PED-" &amp; Consumo_Mensal!$H436 &amp; "-" &amp; TEXT(Consumo_Mensal!$J436, "ddmmaa")</f>
        <v>PED-Centro de Distribuição - Áragon-090326</v>
      </c>
      <c r="C436" s="15">
        <v>20876</v>
      </c>
      <c r="D436" s="16" t="s">
        <v>2</v>
      </c>
      <c r="E436" s="16" t="s">
        <v>46</v>
      </c>
      <c r="F436" s="16">
        <v>2</v>
      </c>
      <c r="G436" s="16" t="s">
        <v>191</v>
      </c>
      <c r="H436" s="16" t="s">
        <v>286</v>
      </c>
      <c r="I436" s="16" t="s">
        <v>283</v>
      </c>
      <c r="J436" s="18">
        <v>46090</v>
      </c>
      <c r="K436" s="18">
        <v>46090</v>
      </c>
      <c r="L436" s="19" t="str">
        <f>CONCATENATE(NETWORKDAYS(Consumo_Mensal!$J436, Consumo_Mensal!$K436)-1, " dia")</f>
        <v>0 dia</v>
      </c>
      <c r="M436" s="23">
        <f>IFERROR(Consumo_Mensal!$F436*VLOOKUP(Consumo_Mensal!$E436,TBEstoque[[DESCRIÇÃO]:[VALOR UNIT. (R$)]],7,0), 0)</f>
        <v>134.54999999999998</v>
      </c>
    </row>
    <row r="437" spans="2:13" ht="16.8" hidden="1">
      <c r="B437" s="16" t="str">
        <f>"PED-" &amp; Consumo_Mensal!$H437 &amp; "-" &amp; TEXT(Consumo_Mensal!$J437, "ddmmaa")</f>
        <v>PED-Centro de Distribuição - Áragon-090326</v>
      </c>
      <c r="C437" s="15">
        <v>20862</v>
      </c>
      <c r="D437" s="16" t="s">
        <v>2</v>
      </c>
      <c r="E437" s="16" t="s">
        <v>48</v>
      </c>
      <c r="F437" s="16">
        <v>5</v>
      </c>
      <c r="G437" s="20" t="s">
        <v>186</v>
      </c>
      <c r="H437" s="16" t="s">
        <v>286</v>
      </c>
      <c r="I437" s="16" t="s">
        <v>283</v>
      </c>
      <c r="J437" s="18">
        <v>46090</v>
      </c>
      <c r="K437" s="18">
        <v>46090</v>
      </c>
      <c r="L437" s="19" t="str">
        <f>CONCATENATE(NETWORKDAYS(Consumo_Mensal!$J437, Consumo_Mensal!$K437)-1, " dia")</f>
        <v>0 dia</v>
      </c>
      <c r="M437" s="23">
        <f>IFERROR(Consumo_Mensal!$F437*VLOOKUP(Consumo_Mensal!$E437,TBEstoque[[DESCRIÇÃO]:[VALOR UNIT. (R$)]],7,0), 0)</f>
        <v>30.13</v>
      </c>
    </row>
    <row r="438" spans="2:13" ht="16.8" hidden="1">
      <c r="B438" s="16" t="str">
        <f>"PED-" &amp; Consumo_Mensal!$H438 &amp; "-" &amp; TEXT(Consumo_Mensal!$J438, "ddmmaa")</f>
        <v>PED-Centro de Distribuição - Áragon-090326</v>
      </c>
      <c r="C438" s="15">
        <v>20881</v>
      </c>
      <c r="D438" s="16" t="s">
        <v>2</v>
      </c>
      <c r="E438" s="16" t="s">
        <v>50</v>
      </c>
      <c r="F438" s="16">
        <v>1</v>
      </c>
      <c r="G438" s="20" t="s">
        <v>186</v>
      </c>
      <c r="H438" s="16" t="s">
        <v>286</v>
      </c>
      <c r="I438" s="16" t="s">
        <v>283</v>
      </c>
      <c r="J438" s="18">
        <v>46090</v>
      </c>
      <c r="K438" s="18">
        <v>46090</v>
      </c>
      <c r="L438" s="19" t="str">
        <f>CONCATENATE(NETWORKDAYS(Consumo_Mensal!$J438, Consumo_Mensal!$K438)-1, " dia")</f>
        <v>0 dia</v>
      </c>
      <c r="M438" s="23">
        <f>IFERROR(Consumo_Mensal!$F438*VLOOKUP(Consumo_Mensal!$E438,TBEstoque[[DESCRIÇÃO]:[VALOR UNIT. (R$)]],7,0), 0)</f>
        <v>14.984499999999999</v>
      </c>
    </row>
    <row r="439" spans="2:13" ht="16.8" hidden="1">
      <c r="B439" s="20" t="str">
        <f>"PED-" &amp; Consumo_Mensal!$H439 &amp; "-" &amp; TEXT(Consumo_Mensal!$J439, "ddmmaa")</f>
        <v>PED-Farmácia Satélite - Unidade 02-090326</v>
      </c>
      <c r="C439" s="15">
        <v>20866</v>
      </c>
      <c r="D439" s="20" t="s">
        <v>2</v>
      </c>
      <c r="E439" s="20" t="s">
        <v>18</v>
      </c>
      <c r="F439" s="20">
        <v>2</v>
      </c>
      <c r="G439" s="16" t="s">
        <v>183</v>
      </c>
      <c r="H439" s="16" t="s">
        <v>256</v>
      </c>
      <c r="I439" s="16" t="s">
        <v>267</v>
      </c>
      <c r="J439" s="21">
        <v>46090</v>
      </c>
      <c r="K439" s="21">
        <v>46091</v>
      </c>
      <c r="L439" s="19" t="str">
        <f>CONCATENATE(NETWORKDAYS(Consumo_Mensal!$J439, Consumo_Mensal!$K439)-1, " dia")</f>
        <v>1 dia</v>
      </c>
      <c r="M439" s="23">
        <f>IFERROR(Consumo_Mensal!$F439*VLOOKUP(Consumo_Mensal!$E439,TBEstoque[[DESCRIÇÃO]:[VALOR UNIT. (R$)]],7,0), 0)</f>
        <v>116.65599999999999</v>
      </c>
    </row>
    <row r="440" spans="2:13" ht="16.8" hidden="1">
      <c r="B440" s="20" t="str">
        <f>"PED-" &amp; Consumo_Mensal!$H440 &amp; "-" &amp; TEXT(Consumo_Mensal!$J440, "ddmmaa")</f>
        <v>PED-Farmácia Satélite - Unidade 02-090326</v>
      </c>
      <c r="C440" s="15">
        <v>20812</v>
      </c>
      <c r="D440" s="20" t="s">
        <v>2</v>
      </c>
      <c r="E440" s="20" t="s">
        <v>17</v>
      </c>
      <c r="F440" s="20">
        <v>1</v>
      </c>
      <c r="G440" s="16" t="s">
        <v>183</v>
      </c>
      <c r="H440" s="16" t="s">
        <v>256</v>
      </c>
      <c r="I440" s="16" t="s">
        <v>267</v>
      </c>
      <c r="J440" s="21">
        <v>46090</v>
      </c>
      <c r="K440" s="21">
        <v>46091</v>
      </c>
      <c r="L440" s="19" t="str">
        <f>CONCATENATE(NETWORKDAYS(Consumo_Mensal!$J440, Consumo_Mensal!$K440)-1, " dia")</f>
        <v>1 dia</v>
      </c>
      <c r="M440" s="23">
        <f>IFERROR(Consumo_Mensal!$F440*VLOOKUP(Consumo_Mensal!$E440,TBEstoque[[DESCRIÇÃO]:[VALOR UNIT. (R$)]],7,0), 0)</f>
        <v>150.29349999999999</v>
      </c>
    </row>
    <row r="441" spans="2:13" ht="16.8" hidden="1">
      <c r="B441" s="20" t="str">
        <f>"PED-" &amp; Consumo_Mensal!$H441 &amp; "-" &amp; TEXT(Consumo_Mensal!$J441, "ddmmaa")</f>
        <v>PED-Farmácia Satélite - Unidade 02-090326</v>
      </c>
      <c r="C441" s="15">
        <v>20880</v>
      </c>
      <c r="D441" s="20" t="s">
        <v>2</v>
      </c>
      <c r="E441" s="20" t="s">
        <v>21</v>
      </c>
      <c r="F441" s="20">
        <v>1</v>
      </c>
      <c r="G441" s="20" t="s">
        <v>186</v>
      </c>
      <c r="H441" s="16" t="s">
        <v>256</v>
      </c>
      <c r="I441" s="16" t="s">
        <v>267</v>
      </c>
      <c r="J441" s="21">
        <v>46090</v>
      </c>
      <c r="K441" s="21">
        <v>46091</v>
      </c>
      <c r="L441" s="19" t="str">
        <f>CONCATENATE(NETWORKDAYS(Consumo_Mensal!$J441, Consumo_Mensal!$K441)-1, " dia")</f>
        <v>1 dia</v>
      </c>
      <c r="M441" s="23">
        <f>IFERROR(Consumo_Mensal!$F441*VLOOKUP(Consumo_Mensal!$E441,TBEstoque[[DESCRIÇÃO]:[VALOR UNIT. (R$)]],7,0), 0)</f>
        <v>9.1425000000000001</v>
      </c>
    </row>
    <row r="442" spans="2:13" ht="16.8" hidden="1">
      <c r="B442" s="20" t="str">
        <f>"PED-" &amp; Consumo_Mensal!$H442 &amp; "-" &amp; TEXT(Consumo_Mensal!$J442, "ddmmaa")</f>
        <v>PED-Farmácia Satélite - Unidade 02-090326</v>
      </c>
      <c r="C442" s="15">
        <v>20849</v>
      </c>
      <c r="D442" s="20" t="s">
        <v>2</v>
      </c>
      <c r="E442" s="20" t="s">
        <v>40</v>
      </c>
      <c r="F442" s="20">
        <v>1</v>
      </c>
      <c r="G442" s="16" t="s">
        <v>184</v>
      </c>
      <c r="H442" s="16" t="s">
        <v>256</v>
      </c>
      <c r="I442" s="16" t="s">
        <v>267</v>
      </c>
      <c r="J442" s="21">
        <v>46090</v>
      </c>
      <c r="K442" s="21">
        <v>46091</v>
      </c>
      <c r="L442" s="19" t="str">
        <f>CONCATENATE(NETWORKDAYS(Consumo_Mensal!$J442, Consumo_Mensal!$K442)-1, " dia")</f>
        <v>1 dia</v>
      </c>
      <c r="M442" s="23">
        <f>IFERROR(Consumo_Mensal!$F442*VLOOKUP(Consumo_Mensal!$E442,TBEstoque[[DESCRIÇÃO]:[VALOR UNIT. (R$)]],7,0), 0)</f>
        <v>41.652999999999999</v>
      </c>
    </row>
    <row r="443" spans="2:13" ht="16.8" hidden="1">
      <c r="B443" s="20" t="str">
        <f>"PED-" &amp; Consumo_Mensal!$H443 &amp; "-" &amp; TEXT(Consumo_Mensal!$J443, "ddmmaa")</f>
        <v>PED-Farmácia Satélite - Unidade 02-090326</v>
      </c>
      <c r="C443" s="15">
        <v>20851</v>
      </c>
      <c r="D443" s="20" t="s">
        <v>2</v>
      </c>
      <c r="E443" s="20" t="s">
        <v>13</v>
      </c>
      <c r="F443" s="20">
        <v>5</v>
      </c>
      <c r="G443" s="20" t="s">
        <v>186</v>
      </c>
      <c r="H443" s="16" t="s">
        <v>256</v>
      </c>
      <c r="I443" s="16" t="s">
        <v>267</v>
      </c>
      <c r="J443" s="21">
        <v>46090</v>
      </c>
      <c r="K443" s="21">
        <v>46091</v>
      </c>
      <c r="L443" s="19" t="str">
        <f>CONCATENATE(NETWORKDAYS(Consumo_Mensal!$J443, Consumo_Mensal!$K443)-1, " dia")</f>
        <v>1 dia</v>
      </c>
      <c r="M443" s="23">
        <f>IFERROR(Consumo_Mensal!$F443*VLOOKUP(Consumo_Mensal!$E443,TBEstoque[[DESCRIÇÃO]:[VALOR UNIT. (R$)]],7,0), 0)</f>
        <v>9.7749999999999986</v>
      </c>
    </row>
    <row r="444" spans="2:13" ht="16.8" hidden="1">
      <c r="B444" s="20" t="str">
        <f>"PED-" &amp; Consumo_Mensal!$H444 &amp; "-" &amp; TEXT(Consumo_Mensal!$J444, "ddmmaa")</f>
        <v>PED-Farmácia Satélite - Unidade 02-090326</v>
      </c>
      <c r="C444" s="15">
        <v>20875</v>
      </c>
      <c r="D444" s="20" t="s">
        <v>2</v>
      </c>
      <c r="E444" s="20" t="s">
        <v>20</v>
      </c>
      <c r="F444" s="20">
        <v>1</v>
      </c>
      <c r="G444" s="16" t="s">
        <v>191</v>
      </c>
      <c r="H444" s="16" t="s">
        <v>256</v>
      </c>
      <c r="I444" s="16" t="s">
        <v>267</v>
      </c>
      <c r="J444" s="21">
        <v>46090</v>
      </c>
      <c r="K444" s="21">
        <v>46091</v>
      </c>
      <c r="L444" s="19" t="str">
        <f>CONCATENATE(NETWORKDAYS(Consumo_Mensal!$J444, Consumo_Mensal!$K444)-1, " dia")</f>
        <v>1 dia</v>
      </c>
      <c r="M444" s="23">
        <f>IFERROR(Consumo_Mensal!$F444*VLOOKUP(Consumo_Mensal!$E444,TBEstoque[[DESCRIÇÃO]:[VALOR UNIT. (R$)]],7,0), 0)</f>
        <v>68.160499999999999</v>
      </c>
    </row>
    <row r="445" spans="2:13" ht="16.8" hidden="1">
      <c r="B445" s="20" t="str">
        <f>"PED-" &amp; Consumo_Mensal!$H445 &amp; "-" &amp; TEXT(Consumo_Mensal!$J445, "ddmmaa")</f>
        <v>PED-Farmácia Satélite - Unidade 02-090326</v>
      </c>
      <c r="C445" s="13">
        <v>926</v>
      </c>
      <c r="D445" s="20" t="s">
        <v>2</v>
      </c>
      <c r="E445" s="20" t="s">
        <v>47</v>
      </c>
      <c r="F445" s="20">
        <v>2</v>
      </c>
      <c r="G445" s="20" t="s">
        <v>186</v>
      </c>
      <c r="H445" s="16" t="s">
        <v>256</v>
      </c>
      <c r="I445" s="16" t="s">
        <v>267</v>
      </c>
      <c r="J445" s="21">
        <v>46090</v>
      </c>
      <c r="K445" s="21">
        <v>46091</v>
      </c>
      <c r="L445" s="19" t="str">
        <f>CONCATENATE(NETWORKDAYS(Consumo_Mensal!$J445, Consumo_Mensal!$K445)-1, " dia")</f>
        <v>1 dia</v>
      </c>
      <c r="M445" s="23">
        <f>IFERROR(Consumo_Mensal!$F445*VLOOKUP(Consumo_Mensal!$E445,TBEstoque[[DESCRIÇÃO]:[VALOR UNIT. (R$)]],7,0), 0)</f>
        <v>54.854999999999997</v>
      </c>
    </row>
    <row r="446" spans="2:13" ht="16.8" hidden="1">
      <c r="B446" s="20" t="str">
        <f>"PED-" &amp; Consumo_Mensal!$H446 &amp; "-" &amp; TEXT(Consumo_Mensal!$J446, "ddmmaa")</f>
        <v>PED-Farmácia Satélite - Unidade 02-090326</v>
      </c>
      <c r="C446" s="15">
        <v>20862</v>
      </c>
      <c r="D446" s="20" t="s">
        <v>2</v>
      </c>
      <c r="E446" s="20" t="s">
        <v>48</v>
      </c>
      <c r="F446" s="20">
        <v>5</v>
      </c>
      <c r="G446" s="20" t="s">
        <v>186</v>
      </c>
      <c r="H446" s="16" t="s">
        <v>256</v>
      </c>
      <c r="I446" s="16" t="s">
        <v>267</v>
      </c>
      <c r="J446" s="21">
        <v>46090</v>
      </c>
      <c r="K446" s="21">
        <v>46091</v>
      </c>
      <c r="L446" s="19" t="str">
        <f>CONCATENATE(NETWORKDAYS(Consumo_Mensal!$J446, Consumo_Mensal!$K446)-1, " dia")</f>
        <v>1 dia</v>
      </c>
      <c r="M446" s="23">
        <f>IFERROR(Consumo_Mensal!$F446*VLOOKUP(Consumo_Mensal!$E446,TBEstoque[[DESCRIÇÃO]:[VALOR UNIT. (R$)]],7,0), 0)</f>
        <v>30.13</v>
      </c>
    </row>
    <row r="447" spans="2:13" ht="16.8" hidden="1">
      <c r="B447" s="16" t="str">
        <f>"PED-" &amp; Consumo_Mensal!$H447 &amp; "-" &amp; TEXT(Consumo_Mensal!$J447, "ddmmaa")</f>
        <v>PED-CD Logística - Regional ABC-100326</v>
      </c>
      <c r="C447" s="15">
        <v>20813</v>
      </c>
      <c r="D447" s="16" t="s">
        <v>2</v>
      </c>
      <c r="E447" s="16" t="s">
        <v>3</v>
      </c>
      <c r="F447" s="16">
        <v>1</v>
      </c>
      <c r="G447" s="16" t="s">
        <v>183</v>
      </c>
      <c r="H447" s="16" t="s">
        <v>255</v>
      </c>
      <c r="I447" s="16" t="s">
        <v>265</v>
      </c>
      <c r="J447" s="18">
        <v>46091</v>
      </c>
      <c r="K447" s="18">
        <v>46092</v>
      </c>
      <c r="L447" s="19" t="str">
        <f>CONCATENATE(NETWORKDAYS(Consumo_Mensal!$J447, Consumo_Mensal!$K447)-1, " dia")</f>
        <v>1 dia</v>
      </c>
      <c r="M447" s="23">
        <f>IFERROR(Consumo_Mensal!$F447*VLOOKUP(Consumo_Mensal!$E447,TBEstoque[[DESCRIÇÃO]:[VALOR UNIT. (R$)]],7,0), 0)</f>
        <v>136.5395</v>
      </c>
    </row>
    <row r="448" spans="2:13" ht="16.8" hidden="1">
      <c r="B448" s="16" t="str">
        <f>"PED-" &amp; Consumo_Mensal!$H448 &amp; "-" &amp; TEXT(Consumo_Mensal!$J448, "ddmmaa")</f>
        <v>PED-CD Logística - Regional ABC-100326</v>
      </c>
      <c r="C448" s="15">
        <v>20812</v>
      </c>
      <c r="D448" s="16" t="s">
        <v>2</v>
      </c>
      <c r="E448" s="16" t="s">
        <v>17</v>
      </c>
      <c r="F448" s="16">
        <v>1</v>
      </c>
      <c r="G448" s="16" t="s">
        <v>183</v>
      </c>
      <c r="H448" s="16" t="s">
        <v>255</v>
      </c>
      <c r="I448" s="16" t="s">
        <v>265</v>
      </c>
      <c r="J448" s="18">
        <v>46091</v>
      </c>
      <c r="K448" s="18">
        <v>46092</v>
      </c>
      <c r="L448" s="19" t="str">
        <f>CONCATENATE(NETWORKDAYS(Consumo_Mensal!$J448, Consumo_Mensal!$K448)-1, " dia")</f>
        <v>1 dia</v>
      </c>
      <c r="M448" s="23">
        <f>IFERROR(Consumo_Mensal!$F448*VLOOKUP(Consumo_Mensal!$E448,TBEstoque[[DESCRIÇÃO]:[VALOR UNIT. (R$)]],7,0), 0)</f>
        <v>150.29349999999999</v>
      </c>
    </row>
    <row r="449" spans="2:13" ht="16.8" hidden="1">
      <c r="B449" s="16" t="str">
        <f>"PED-" &amp; Consumo_Mensal!$H449 &amp; "-" &amp; TEXT(Consumo_Mensal!$J449, "ddmmaa")</f>
        <v>PED-CD Logística - Regional ABC-100326</v>
      </c>
      <c r="C449" s="15">
        <v>20847</v>
      </c>
      <c r="D449" s="16" t="s">
        <v>2</v>
      </c>
      <c r="E449" s="16" t="s">
        <v>6</v>
      </c>
      <c r="F449" s="16">
        <v>1</v>
      </c>
      <c r="G449" s="16" t="s">
        <v>184</v>
      </c>
      <c r="H449" s="16" t="s">
        <v>255</v>
      </c>
      <c r="I449" s="16" t="s">
        <v>265</v>
      </c>
      <c r="J449" s="18">
        <v>46091</v>
      </c>
      <c r="K449" s="18">
        <v>46092</v>
      </c>
      <c r="L449" s="19" t="str">
        <f>CONCATENATE(NETWORKDAYS(Consumo_Mensal!$J449, Consumo_Mensal!$K449)-1, " dia")</f>
        <v>1 dia</v>
      </c>
      <c r="M449" s="23">
        <f>IFERROR(Consumo_Mensal!$F449*VLOOKUP(Consumo_Mensal!$E449,TBEstoque[[DESCRIÇÃO]:[VALOR UNIT. (R$)]],7,0), 0)</f>
        <v>24.84</v>
      </c>
    </row>
    <row r="450" spans="2:13" ht="16.8" hidden="1">
      <c r="B450" s="16" t="str">
        <f>"PED-" &amp; Consumo_Mensal!$H450 &amp; "-" &amp; TEXT(Consumo_Mensal!$J450, "ddmmaa")</f>
        <v>PED-CD Logística - Regional ABC-100326</v>
      </c>
      <c r="C450" s="15">
        <v>20869</v>
      </c>
      <c r="D450" s="16" t="s">
        <v>2</v>
      </c>
      <c r="E450" s="16" t="s">
        <v>38</v>
      </c>
      <c r="F450" s="16">
        <v>1</v>
      </c>
      <c r="G450" s="16" t="s">
        <v>183</v>
      </c>
      <c r="H450" s="16" t="s">
        <v>255</v>
      </c>
      <c r="I450" s="16" t="s">
        <v>265</v>
      </c>
      <c r="J450" s="18">
        <v>46091</v>
      </c>
      <c r="K450" s="18">
        <v>46092</v>
      </c>
      <c r="L450" s="19" t="str">
        <f>CONCATENATE(NETWORKDAYS(Consumo_Mensal!$J450, Consumo_Mensal!$K450)-1, " dia")</f>
        <v>1 dia</v>
      </c>
      <c r="M450" s="23">
        <f>IFERROR(Consumo_Mensal!$F450*VLOOKUP(Consumo_Mensal!$E450,TBEstoque[[DESCRIÇÃO]:[VALOR UNIT. (R$)]],7,0), 0)</f>
        <v>15.352499999999999</v>
      </c>
    </row>
    <row r="451" spans="2:13" ht="16.8" hidden="1">
      <c r="B451" s="16" t="str">
        <f>"PED-" &amp; Consumo_Mensal!$H451 &amp; "-" &amp; TEXT(Consumo_Mensal!$J451, "ddmmaa")</f>
        <v>PED-CD Logística - Regional ABC-100326</v>
      </c>
      <c r="C451" s="15">
        <v>20850</v>
      </c>
      <c r="D451" s="16" t="s">
        <v>2</v>
      </c>
      <c r="E451" s="16" t="s">
        <v>42</v>
      </c>
      <c r="F451" s="16">
        <v>1</v>
      </c>
      <c r="G451" s="16" t="s">
        <v>184</v>
      </c>
      <c r="H451" s="16" t="s">
        <v>255</v>
      </c>
      <c r="I451" s="16" t="s">
        <v>265</v>
      </c>
      <c r="J451" s="18">
        <v>46091</v>
      </c>
      <c r="K451" s="18">
        <v>46092</v>
      </c>
      <c r="L451" s="19" t="str">
        <f>CONCATENATE(NETWORKDAYS(Consumo_Mensal!$J451, Consumo_Mensal!$K451)-1, " dia")</f>
        <v>1 dia</v>
      </c>
      <c r="M451" s="23">
        <f>IFERROR(Consumo_Mensal!$F451*VLOOKUP(Consumo_Mensal!$E451,TBEstoque[[DESCRIÇÃO]:[VALOR UNIT. (R$)]],7,0), 0)</f>
        <v>35.362499999999997</v>
      </c>
    </row>
    <row r="452" spans="2:13" ht="16.8" hidden="1">
      <c r="B452" s="20" t="str">
        <f>"PED-" &amp; Consumo_Mensal!$H452 &amp; "-" &amp; TEXT(Consumo_Mensal!$J452, "ddmmaa")</f>
        <v>PED-Farmácia Satélite - Unidade 05-100326</v>
      </c>
      <c r="C452" s="15">
        <v>20876</v>
      </c>
      <c r="D452" s="20" t="s">
        <v>2</v>
      </c>
      <c r="E452" s="20" t="s">
        <v>46</v>
      </c>
      <c r="F452" s="20">
        <v>2</v>
      </c>
      <c r="G452" s="16" t="s">
        <v>191</v>
      </c>
      <c r="H452" s="16" t="s">
        <v>262</v>
      </c>
      <c r="I452" s="16" t="s">
        <v>274</v>
      </c>
      <c r="J452" s="21">
        <v>46091</v>
      </c>
      <c r="K452" s="18">
        <v>46092</v>
      </c>
      <c r="L452" s="19" t="str">
        <f>CONCATENATE(NETWORKDAYS(Consumo_Mensal!$J452, Consumo_Mensal!$K452)-1, " dia")</f>
        <v>1 dia</v>
      </c>
      <c r="M452" s="23">
        <f>IFERROR(Consumo_Mensal!$F452*VLOOKUP(Consumo_Mensal!$E452,TBEstoque[[DESCRIÇÃO]:[VALOR UNIT. (R$)]],7,0), 0)</f>
        <v>134.54999999999998</v>
      </c>
    </row>
    <row r="453" spans="2:13" ht="16.8" hidden="1">
      <c r="B453" s="20" t="str">
        <f>"PED-" &amp; Consumo_Mensal!$H453 &amp; "-" &amp; TEXT(Consumo_Mensal!$J453, "ddmmaa")</f>
        <v>PED-Farmácia Satélite - Unidade 05-100326</v>
      </c>
      <c r="C453" s="15">
        <v>20879</v>
      </c>
      <c r="D453" s="20" t="s">
        <v>2</v>
      </c>
      <c r="E453" s="20" t="s">
        <v>51</v>
      </c>
      <c r="F453" s="20">
        <v>2</v>
      </c>
      <c r="G453" s="16" t="s">
        <v>191</v>
      </c>
      <c r="H453" s="16" t="s">
        <v>262</v>
      </c>
      <c r="I453" s="16" t="s">
        <v>274</v>
      </c>
      <c r="J453" s="21">
        <v>46091</v>
      </c>
      <c r="K453" s="18">
        <v>46092</v>
      </c>
      <c r="L453" s="19" t="str">
        <f>CONCATENATE(NETWORKDAYS(Consumo_Mensal!$J453, Consumo_Mensal!$K453)-1, " dia")</f>
        <v>1 dia</v>
      </c>
      <c r="M453" s="23">
        <f>IFERROR(Consumo_Mensal!$F453*VLOOKUP(Consumo_Mensal!$E453,TBEstoque[[DESCRIÇÃO]:[VALOR UNIT. (R$)]],7,0), 0)</f>
        <v>69</v>
      </c>
    </row>
    <row r="454" spans="2:13" ht="16.8" hidden="1">
      <c r="B454" s="20" t="str">
        <f>"PED-" &amp; Consumo_Mensal!$H454 &amp; "-" &amp; TEXT(Consumo_Mensal!$J454, "ddmmaa")</f>
        <v>PED-Farmácia Satélite - Unidade 05-100326</v>
      </c>
      <c r="C454" s="15">
        <v>20878</v>
      </c>
      <c r="D454" s="20" t="s">
        <v>2</v>
      </c>
      <c r="E454" s="20" t="s">
        <v>65</v>
      </c>
      <c r="F454" s="20">
        <v>2</v>
      </c>
      <c r="G454" s="16" t="s">
        <v>191</v>
      </c>
      <c r="H454" s="16" t="s">
        <v>262</v>
      </c>
      <c r="I454" s="16" t="s">
        <v>274</v>
      </c>
      <c r="J454" s="21">
        <v>46091</v>
      </c>
      <c r="K454" s="18">
        <v>46092</v>
      </c>
      <c r="L454" s="19" t="str">
        <f>CONCATENATE(NETWORKDAYS(Consumo_Mensal!$J454, Consumo_Mensal!$K454)-1, " dia")</f>
        <v>1 dia</v>
      </c>
      <c r="M454" s="23">
        <f>IFERROR(Consumo_Mensal!$F454*VLOOKUP(Consumo_Mensal!$E454,TBEstoque[[DESCRIÇÃO]:[VALOR UNIT. (R$)]],7,0), 0)</f>
        <v>69</v>
      </c>
    </row>
    <row r="455" spans="2:13" ht="16.8" hidden="1">
      <c r="B455" s="20" t="str">
        <f>"PED-" &amp; Consumo_Mensal!$H455 &amp; "-" &amp; TEXT(Consumo_Mensal!$J455, "ddmmaa")</f>
        <v>PED-Farmácia Satélite - Unidade 05-100326</v>
      </c>
      <c r="C455" s="15">
        <v>20872</v>
      </c>
      <c r="D455" s="20" t="s">
        <v>2</v>
      </c>
      <c r="E455" s="20" t="s">
        <v>12</v>
      </c>
      <c r="F455" s="20">
        <v>2</v>
      </c>
      <c r="G455" s="16" t="s">
        <v>191</v>
      </c>
      <c r="H455" s="16" t="s">
        <v>262</v>
      </c>
      <c r="I455" s="16" t="s">
        <v>274</v>
      </c>
      <c r="J455" s="21">
        <v>46091</v>
      </c>
      <c r="K455" s="18">
        <v>46092</v>
      </c>
      <c r="L455" s="19" t="str">
        <f>CONCATENATE(NETWORKDAYS(Consumo_Mensal!$J455, Consumo_Mensal!$K455)-1, " dia")</f>
        <v>1 dia</v>
      </c>
      <c r="M455" s="23">
        <f>IFERROR(Consumo_Mensal!$F455*VLOOKUP(Consumo_Mensal!$E455,TBEstoque[[DESCRIÇÃO]:[VALOR UNIT. (R$)]],7,0), 0)</f>
        <v>195.49999999999997</v>
      </c>
    </row>
    <row r="456" spans="2:13" ht="16.8" hidden="1">
      <c r="B456" s="20" t="str">
        <f>"PED-" &amp; Consumo_Mensal!$H456 &amp; "-" &amp; TEXT(Consumo_Mensal!$J456, "ddmmaa")</f>
        <v>PED-Farmácia Satélite - Unidade 05-100326</v>
      </c>
      <c r="C456" s="15">
        <v>20875</v>
      </c>
      <c r="D456" s="20" t="s">
        <v>2</v>
      </c>
      <c r="E456" s="20" t="s">
        <v>20</v>
      </c>
      <c r="F456" s="20">
        <v>2</v>
      </c>
      <c r="G456" s="16" t="s">
        <v>191</v>
      </c>
      <c r="H456" s="16" t="s">
        <v>262</v>
      </c>
      <c r="I456" s="16" t="s">
        <v>274</v>
      </c>
      <c r="J456" s="21">
        <v>46091</v>
      </c>
      <c r="K456" s="18">
        <v>46092</v>
      </c>
      <c r="L456" s="19" t="str">
        <f>CONCATENATE(NETWORKDAYS(Consumo_Mensal!$J456, Consumo_Mensal!$K456)-1, " dia")</f>
        <v>1 dia</v>
      </c>
      <c r="M456" s="23">
        <f>IFERROR(Consumo_Mensal!$F456*VLOOKUP(Consumo_Mensal!$E456,TBEstoque[[DESCRIÇÃO]:[VALOR UNIT. (R$)]],7,0), 0)</f>
        <v>136.321</v>
      </c>
    </row>
    <row r="457" spans="2:13" ht="16.8" hidden="1">
      <c r="B457" s="20" t="str">
        <f>"PED-" &amp; Consumo_Mensal!$H457 &amp; "-" &amp; TEXT(Consumo_Mensal!$J457, "ddmmaa")</f>
        <v>PED-Farmácia Satélite - Unidade 05-100326</v>
      </c>
      <c r="C457" s="15">
        <v>20869</v>
      </c>
      <c r="D457" s="20" t="s">
        <v>2</v>
      </c>
      <c r="E457" s="20" t="s">
        <v>38</v>
      </c>
      <c r="F457" s="20">
        <v>2</v>
      </c>
      <c r="G457" s="16" t="s">
        <v>183</v>
      </c>
      <c r="H457" s="16" t="s">
        <v>262</v>
      </c>
      <c r="I457" s="16" t="s">
        <v>274</v>
      </c>
      <c r="J457" s="21">
        <v>46091</v>
      </c>
      <c r="K457" s="18">
        <v>46092</v>
      </c>
      <c r="L457" s="19" t="str">
        <f>CONCATENATE(NETWORKDAYS(Consumo_Mensal!$J457, Consumo_Mensal!$K457)-1, " dia")</f>
        <v>1 dia</v>
      </c>
      <c r="M457" s="23">
        <f>IFERROR(Consumo_Mensal!$F457*VLOOKUP(Consumo_Mensal!$E457,TBEstoque[[DESCRIÇÃO]:[VALOR UNIT. (R$)]],7,0), 0)</f>
        <v>30.704999999999998</v>
      </c>
    </row>
    <row r="458" spans="2:13" ht="16.8" hidden="1">
      <c r="B458" s="20" t="str">
        <f>"PED-" &amp; Consumo_Mensal!$H458 &amp; "-" &amp; TEXT(Consumo_Mensal!$J458, "ddmmaa")</f>
        <v>PED-Farmácia Satélite - Unidade 05-100326</v>
      </c>
      <c r="C458" s="13">
        <v>926</v>
      </c>
      <c r="D458" s="20" t="s">
        <v>2</v>
      </c>
      <c r="E458" s="20" t="s">
        <v>47</v>
      </c>
      <c r="F458" s="20">
        <v>2</v>
      </c>
      <c r="G458" s="20" t="s">
        <v>186</v>
      </c>
      <c r="H458" s="16" t="s">
        <v>262</v>
      </c>
      <c r="I458" s="16" t="s">
        <v>274</v>
      </c>
      <c r="J458" s="21">
        <v>46091</v>
      </c>
      <c r="K458" s="18">
        <v>46092</v>
      </c>
      <c r="L458" s="19" t="str">
        <f>CONCATENATE(NETWORKDAYS(Consumo_Mensal!$J458, Consumo_Mensal!$K458)-1, " dia")</f>
        <v>1 dia</v>
      </c>
      <c r="M458" s="23">
        <f>IFERROR(Consumo_Mensal!$F458*VLOOKUP(Consumo_Mensal!$E458,TBEstoque[[DESCRIÇÃO]:[VALOR UNIT. (R$)]],7,0), 0)</f>
        <v>54.854999999999997</v>
      </c>
    </row>
    <row r="459" spans="2:13" ht="16.8" hidden="1">
      <c r="B459" s="20" t="str">
        <f>"PED-" &amp; Consumo_Mensal!$H459 &amp; "-" &amp; TEXT(Consumo_Mensal!$J459, "ddmmaa")</f>
        <v>PED-Farmácia Satélite - Unidade 05-100326</v>
      </c>
      <c r="C459" s="15">
        <v>20848</v>
      </c>
      <c r="D459" s="20" t="s">
        <v>2</v>
      </c>
      <c r="E459" s="20" t="s">
        <v>7</v>
      </c>
      <c r="F459" s="20">
        <v>2</v>
      </c>
      <c r="G459" s="16" t="s">
        <v>184</v>
      </c>
      <c r="H459" s="16" t="s">
        <v>262</v>
      </c>
      <c r="I459" s="16" t="s">
        <v>274</v>
      </c>
      <c r="J459" s="21">
        <v>46091</v>
      </c>
      <c r="K459" s="18">
        <v>46092</v>
      </c>
      <c r="L459" s="19" t="str">
        <f>CONCATENATE(NETWORKDAYS(Consumo_Mensal!$J459, Consumo_Mensal!$K459)-1, " dia")</f>
        <v>1 dia</v>
      </c>
      <c r="M459" s="23">
        <f>IFERROR(Consumo_Mensal!$F459*VLOOKUP(Consumo_Mensal!$E459,TBEstoque[[DESCRIÇÃO]:[VALOR UNIT. (R$)]],7,0), 0)</f>
        <v>97.864999999999981</v>
      </c>
    </row>
    <row r="460" spans="2:13" ht="16.8" hidden="1">
      <c r="B460" s="20" t="str">
        <f>"PED-" &amp; Consumo_Mensal!$H460 &amp; "-" &amp; TEXT(Consumo_Mensal!$J460, "ddmmaa")</f>
        <v>PED-Farmácia Satélite - Unidade 05-100326</v>
      </c>
      <c r="C460" s="15">
        <v>20860</v>
      </c>
      <c r="D460" s="20" t="s">
        <v>2</v>
      </c>
      <c r="E460" s="20" t="s">
        <v>66</v>
      </c>
      <c r="F460" s="20">
        <v>4</v>
      </c>
      <c r="G460" s="20" t="s">
        <v>67</v>
      </c>
      <c r="H460" s="16" t="s">
        <v>262</v>
      </c>
      <c r="I460" s="16" t="s">
        <v>274</v>
      </c>
      <c r="J460" s="21">
        <v>46091</v>
      </c>
      <c r="K460" s="18">
        <v>46092</v>
      </c>
      <c r="L460" s="19" t="str">
        <f>CONCATENATE(NETWORKDAYS(Consumo_Mensal!$J460, Consumo_Mensal!$K460)-1, " dia")</f>
        <v>1 dia</v>
      </c>
      <c r="M460" s="23">
        <f>IFERROR(Consumo_Mensal!$F460*VLOOKUP(Consumo_Mensal!$E460,TBEstoque[[DESCRIÇÃO]:[VALOR UNIT. (R$)]],7,0), 0)</f>
        <v>74.52</v>
      </c>
    </row>
    <row r="461" spans="2:13" ht="16.8" hidden="1">
      <c r="B461" s="20" t="str">
        <f>"PED-" &amp; Consumo_Mensal!$H461 &amp; "-" &amp; TEXT(Consumo_Mensal!$J461, "ddmmaa")</f>
        <v>PED-Farmácia Satélite - Unidade 05-100326</v>
      </c>
      <c r="C461" s="15">
        <v>20856</v>
      </c>
      <c r="D461" s="20" t="s">
        <v>2</v>
      </c>
      <c r="E461" s="20" t="s">
        <v>68</v>
      </c>
      <c r="F461" s="20">
        <v>4</v>
      </c>
      <c r="G461" s="20" t="s">
        <v>67</v>
      </c>
      <c r="H461" s="16" t="s">
        <v>262</v>
      </c>
      <c r="I461" s="16" t="s">
        <v>274</v>
      </c>
      <c r="J461" s="21">
        <v>46091</v>
      </c>
      <c r="K461" s="18">
        <v>46092</v>
      </c>
      <c r="L461" s="19" t="str">
        <f>CONCATENATE(NETWORKDAYS(Consumo_Mensal!$J461, Consumo_Mensal!$K461)-1, " dia")</f>
        <v>1 dia</v>
      </c>
      <c r="M461" s="23">
        <f>IFERROR(Consumo_Mensal!$F461*VLOOKUP(Consumo_Mensal!$E461,TBEstoque[[DESCRIÇÃO]:[VALOR UNIT. (R$)]],7,0), 0)</f>
        <v>55.199999999999996</v>
      </c>
    </row>
    <row r="462" spans="2:13" ht="16.8" hidden="1">
      <c r="B462" s="20" t="str">
        <f>"PED-" &amp; Consumo_Mensal!$H462 &amp; "-" &amp; TEXT(Consumo_Mensal!$J462, "ddmmaa")</f>
        <v>PED-Farmácia Satélite - Unidade 05-100326</v>
      </c>
      <c r="C462" s="15">
        <v>20866</v>
      </c>
      <c r="D462" s="20" t="s">
        <v>2</v>
      </c>
      <c r="E462" s="20" t="s">
        <v>18</v>
      </c>
      <c r="F462" s="20">
        <v>2</v>
      </c>
      <c r="G462" s="16" t="s">
        <v>183</v>
      </c>
      <c r="H462" s="16" t="s">
        <v>262</v>
      </c>
      <c r="I462" s="16" t="s">
        <v>274</v>
      </c>
      <c r="J462" s="21">
        <v>46091</v>
      </c>
      <c r="K462" s="18">
        <v>46092</v>
      </c>
      <c r="L462" s="19" t="str">
        <f>CONCATENATE(NETWORKDAYS(Consumo_Mensal!$J462, Consumo_Mensal!$K462)-1, " dia")</f>
        <v>1 dia</v>
      </c>
      <c r="M462" s="23">
        <f>IFERROR(Consumo_Mensal!$F462*VLOOKUP(Consumo_Mensal!$E462,TBEstoque[[DESCRIÇÃO]:[VALOR UNIT. (R$)]],7,0), 0)</f>
        <v>116.65599999999999</v>
      </c>
    </row>
    <row r="463" spans="2:13" ht="16.8" hidden="1">
      <c r="B463" s="20" t="str">
        <f>"PED-" &amp; Consumo_Mensal!$H463 &amp; "-" &amp; TEXT(Consumo_Mensal!$J463, "ddmmaa")</f>
        <v>PED-Farmácia Satélite - Unidade 05-100326</v>
      </c>
      <c r="C463" s="15">
        <v>20812</v>
      </c>
      <c r="D463" s="20" t="s">
        <v>2</v>
      </c>
      <c r="E463" s="20" t="s">
        <v>17</v>
      </c>
      <c r="F463" s="20">
        <v>2</v>
      </c>
      <c r="G463" s="16" t="s">
        <v>183</v>
      </c>
      <c r="H463" s="16" t="s">
        <v>262</v>
      </c>
      <c r="I463" s="16" t="s">
        <v>274</v>
      </c>
      <c r="J463" s="21">
        <v>46091</v>
      </c>
      <c r="K463" s="18">
        <v>46092</v>
      </c>
      <c r="L463" s="19" t="str">
        <f>CONCATENATE(NETWORKDAYS(Consumo_Mensal!$J463, Consumo_Mensal!$K463)-1, " dia")</f>
        <v>1 dia</v>
      </c>
      <c r="M463" s="23">
        <f>IFERROR(Consumo_Mensal!$F463*VLOOKUP(Consumo_Mensal!$E463,TBEstoque[[DESCRIÇÃO]:[VALOR UNIT. (R$)]],7,0), 0)</f>
        <v>300.58699999999999</v>
      </c>
    </row>
    <row r="464" spans="2:13" ht="16.8" hidden="1">
      <c r="B464" s="20" t="str">
        <f>"PED-" &amp; Consumo_Mensal!$H464 &amp; "-" &amp; TEXT(Consumo_Mensal!$J464, "ddmmaa")</f>
        <v>PED-Farmácia Satélite - Unidade 05-100326</v>
      </c>
      <c r="C464" s="15">
        <v>20851</v>
      </c>
      <c r="D464" s="20" t="s">
        <v>2</v>
      </c>
      <c r="E464" s="20" t="s">
        <v>13</v>
      </c>
      <c r="F464" s="20">
        <v>10</v>
      </c>
      <c r="G464" s="20" t="s">
        <v>186</v>
      </c>
      <c r="H464" s="16" t="s">
        <v>262</v>
      </c>
      <c r="I464" s="16" t="s">
        <v>274</v>
      </c>
      <c r="J464" s="21">
        <v>46091</v>
      </c>
      <c r="K464" s="18">
        <v>46092</v>
      </c>
      <c r="L464" s="19" t="str">
        <f>CONCATENATE(NETWORKDAYS(Consumo_Mensal!$J464, Consumo_Mensal!$K464)-1, " dia")</f>
        <v>1 dia</v>
      </c>
      <c r="M464" s="23">
        <f>IFERROR(Consumo_Mensal!$F464*VLOOKUP(Consumo_Mensal!$E464,TBEstoque[[DESCRIÇÃO]:[VALOR UNIT. (R$)]],7,0), 0)</f>
        <v>19.549999999999997</v>
      </c>
    </row>
    <row r="465" spans="2:13" ht="16.8" hidden="1">
      <c r="B465" s="20" t="str">
        <f>"PED-" &amp; Consumo_Mensal!$H465 &amp; "-" &amp; TEXT(Consumo_Mensal!$J465, "ddmmaa")</f>
        <v>PED-Farmácia Satélite - Unidade 05-100326</v>
      </c>
      <c r="C465" s="15">
        <v>20862</v>
      </c>
      <c r="D465" s="20" t="s">
        <v>2</v>
      </c>
      <c r="E465" s="20" t="s">
        <v>48</v>
      </c>
      <c r="F465" s="20">
        <v>5</v>
      </c>
      <c r="G465" s="20" t="s">
        <v>186</v>
      </c>
      <c r="H465" s="16" t="s">
        <v>262</v>
      </c>
      <c r="I465" s="16" t="s">
        <v>274</v>
      </c>
      <c r="J465" s="21">
        <v>46091</v>
      </c>
      <c r="K465" s="18">
        <v>46092</v>
      </c>
      <c r="L465" s="19" t="str">
        <f>CONCATENATE(NETWORKDAYS(Consumo_Mensal!$J465, Consumo_Mensal!$K465)-1, " dia")</f>
        <v>1 dia</v>
      </c>
      <c r="M465" s="23">
        <f>IFERROR(Consumo_Mensal!$F465*VLOOKUP(Consumo_Mensal!$E465,TBEstoque[[DESCRIÇÃO]:[VALOR UNIT. (R$)]],7,0), 0)</f>
        <v>30.13</v>
      </c>
    </row>
    <row r="466" spans="2:13" ht="16.8" hidden="1">
      <c r="B466" s="20" t="str">
        <f>"PED-" &amp; Consumo_Mensal!$H466 &amp; "-" &amp; TEXT(Consumo_Mensal!$J466, "ddmmaa")</f>
        <v>PED-Farmácia Satélite - Unidade 05-100326</v>
      </c>
      <c r="C466" s="15">
        <v>20851</v>
      </c>
      <c r="D466" s="20" t="s">
        <v>2</v>
      </c>
      <c r="E466" s="20" t="s">
        <v>13</v>
      </c>
      <c r="F466" s="20">
        <v>10</v>
      </c>
      <c r="G466" s="20" t="s">
        <v>186</v>
      </c>
      <c r="H466" s="16" t="s">
        <v>262</v>
      </c>
      <c r="I466" s="16" t="s">
        <v>274</v>
      </c>
      <c r="J466" s="21">
        <v>46091</v>
      </c>
      <c r="K466" s="18">
        <v>46092</v>
      </c>
      <c r="L466" s="19" t="str">
        <f>CONCATENATE(NETWORKDAYS(Consumo_Mensal!$J466, Consumo_Mensal!$K466)-1, " dia")</f>
        <v>1 dia</v>
      </c>
      <c r="M466" s="23">
        <f>IFERROR(Consumo_Mensal!$F466*VLOOKUP(Consumo_Mensal!$E466,TBEstoque[[DESCRIÇÃO]:[VALOR UNIT. (R$)]],7,0), 0)</f>
        <v>19.549999999999997</v>
      </c>
    </row>
    <row r="467" spans="2:13" ht="16.8" hidden="1">
      <c r="B467" s="20" t="str">
        <f>"PED-" &amp; Consumo_Mensal!$H467 &amp; "-" &amp; TEXT(Consumo_Mensal!$J467, "ddmmaa")</f>
        <v>PED-Farmácia Satélite - Unidade 05-100326</v>
      </c>
      <c r="C467" s="15">
        <v>20862</v>
      </c>
      <c r="D467" s="20" t="s">
        <v>2</v>
      </c>
      <c r="E467" s="20" t="s">
        <v>48</v>
      </c>
      <c r="F467" s="20">
        <v>5</v>
      </c>
      <c r="G467" s="20" t="s">
        <v>186</v>
      </c>
      <c r="H467" s="16" t="s">
        <v>262</v>
      </c>
      <c r="I467" s="16" t="s">
        <v>274</v>
      </c>
      <c r="J467" s="21">
        <v>46091</v>
      </c>
      <c r="K467" s="18">
        <v>46092</v>
      </c>
      <c r="L467" s="19" t="str">
        <f>CONCATENATE(NETWORKDAYS(Consumo_Mensal!$J467, Consumo_Mensal!$K467)-1, " dia")</f>
        <v>1 dia</v>
      </c>
      <c r="M467" s="23">
        <f>IFERROR(Consumo_Mensal!$F467*VLOOKUP(Consumo_Mensal!$E467,TBEstoque[[DESCRIÇÃO]:[VALOR UNIT. (R$)]],7,0), 0)</f>
        <v>30.13</v>
      </c>
    </row>
    <row r="468" spans="2:13" ht="16.8">
      <c r="B468" s="16" t="str">
        <f>"PED-" &amp; Consumo_Mensal!$H468 &amp; "-" &amp; TEXT(Consumo_Mensal!$J468, "ddmmaa")</f>
        <v>PED-Planta Industrial - Suprimentos-110326</v>
      </c>
      <c r="C468" s="15">
        <v>20847</v>
      </c>
      <c r="D468" s="16" t="s">
        <v>2</v>
      </c>
      <c r="E468" s="16" t="s">
        <v>6</v>
      </c>
      <c r="F468" s="16">
        <v>3</v>
      </c>
      <c r="G468" s="16" t="s">
        <v>184</v>
      </c>
      <c r="H468" s="16" t="s">
        <v>258</v>
      </c>
      <c r="I468" s="16" t="s">
        <v>280</v>
      </c>
      <c r="J468" s="18">
        <v>46092</v>
      </c>
      <c r="K468" s="18">
        <v>46093</v>
      </c>
      <c r="L468" s="19" t="str">
        <f>CONCATENATE(NETWORKDAYS(Consumo_Mensal!$J468, Consumo_Mensal!$K468)-1, " dia")</f>
        <v>1 dia</v>
      </c>
      <c r="M468" s="23">
        <f>IFERROR(Consumo_Mensal!$F468*VLOOKUP(Consumo_Mensal!$E468,TBEstoque[[DESCRIÇÃO]:[VALOR UNIT. (R$)]],7,0), 0)</f>
        <v>74.52</v>
      </c>
    </row>
    <row r="469" spans="2:13" ht="16.8" hidden="1">
      <c r="B469" s="16" t="str">
        <f>"PED-" &amp; Consumo_Mensal!$H469 &amp; "-" &amp; TEXT(Consumo_Mensal!$J469, "ddmmaa")</f>
        <v>PED-Almoxarifado Central-110326</v>
      </c>
      <c r="C469" s="15">
        <v>20867</v>
      </c>
      <c r="D469" s="16" t="s">
        <v>2</v>
      </c>
      <c r="E469" s="16" t="s">
        <v>19</v>
      </c>
      <c r="F469" s="16">
        <v>12</v>
      </c>
      <c r="G469" s="20" t="s">
        <v>186</v>
      </c>
      <c r="H469" s="16" t="s">
        <v>264</v>
      </c>
      <c r="I469" s="16" t="s">
        <v>273</v>
      </c>
      <c r="J469" s="18">
        <v>46092</v>
      </c>
      <c r="K469" s="18">
        <v>46093</v>
      </c>
      <c r="L469" s="19" t="str">
        <f>CONCATENATE(NETWORKDAYS(Consumo_Mensal!$J469, Consumo_Mensal!$K469)-1, " dia")</f>
        <v>1 dia</v>
      </c>
      <c r="M469" s="23">
        <f>IFERROR(Consumo_Mensal!$F469*VLOOKUP(Consumo_Mensal!$E469,TBEstoque[[DESCRIÇÃO]:[VALOR UNIT. (R$)]],7,0), 0)</f>
        <v>22.907999999999998</v>
      </c>
    </row>
    <row r="470" spans="2:13" ht="16.8" hidden="1">
      <c r="B470" s="16" t="str">
        <f>"PED-" &amp; Consumo_Mensal!$H470 &amp; "-" &amp; TEXT(Consumo_Mensal!$J470, "ddmmaa")</f>
        <v>PED-Almoxarifado Central-110326</v>
      </c>
      <c r="C470" s="15">
        <v>20813</v>
      </c>
      <c r="D470" s="16" t="s">
        <v>2</v>
      </c>
      <c r="E470" s="16" t="s">
        <v>3</v>
      </c>
      <c r="F470" s="16">
        <v>1</v>
      </c>
      <c r="G470" s="16" t="s">
        <v>183</v>
      </c>
      <c r="H470" s="16" t="s">
        <v>264</v>
      </c>
      <c r="I470" s="16" t="s">
        <v>273</v>
      </c>
      <c r="J470" s="18">
        <v>46092</v>
      </c>
      <c r="K470" s="18">
        <v>46093</v>
      </c>
      <c r="L470" s="19" t="str">
        <f>CONCATENATE(NETWORKDAYS(Consumo_Mensal!$J470, Consumo_Mensal!$K470)-1, " dia")</f>
        <v>1 dia</v>
      </c>
      <c r="M470" s="23">
        <f>IFERROR(Consumo_Mensal!$F470*VLOOKUP(Consumo_Mensal!$E470,TBEstoque[[DESCRIÇÃO]:[VALOR UNIT. (R$)]],7,0), 0)</f>
        <v>136.5395</v>
      </c>
    </row>
    <row r="471" spans="2:13" ht="16.8" hidden="1">
      <c r="B471" s="20" t="str">
        <f>"PED-" &amp; Consumo_Mensal!$H471 &amp; "-" &amp; TEXT(Consumo_Mensal!$J471, "ddmmaa")</f>
        <v>PED-Escritório Central - Sede-110326</v>
      </c>
      <c r="C471" s="15">
        <v>20847</v>
      </c>
      <c r="D471" s="20" t="s">
        <v>2</v>
      </c>
      <c r="E471" s="20" t="s">
        <v>6</v>
      </c>
      <c r="F471" s="20">
        <v>1</v>
      </c>
      <c r="G471" s="16" t="s">
        <v>184</v>
      </c>
      <c r="H471" s="16" t="s">
        <v>260</v>
      </c>
      <c r="I471" s="16" t="s">
        <v>271</v>
      </c>
      <c r="J471" s="21">
        <v>46092</v>
      </c>
      <c r="K471" s="18">
        <v>46093</v>
      </c>
      <c r="L471" s="19" t="str">
        <f>CONCATENATE(NETWORKDAYS(Consumo_Mensal!$J471, Consumo_Mensal!$K471)-1, " dia")</f>
        <v>1 dia</v>
      </c>
      <c r="M471" s="23">
        <f>IFERROR(Consumo_Mensal!$F471*VLOOKUP(Consumo_Mensal!$E471,TBEstoque[[DESCRIÇÃO]:[VALOR UNIT. (R$)]],7,0), 0)</f>
        <v>24.84</v>
      </c>
    </row>
    <row r="472" spans="2:13" ht="16.8" hidden="1">
      <c r="B472" s="20" t="str">
        <f>"PED-" &amp; Consumo_Mensal!$H472 &amp; "-" &amp; TEXT(Consumo_Mensal!$J472, "ddmmaa")</f>
        <v>PED-Escritório Central - Sede-110326</v>
      </c>
      <c r="C472" s="15">
        <v>20850</v>
      </c>
      <c r="D472" s="20" t="s">
        <v>2</v>
      </c>
      <c r="E472" s="20" t="s">
        <v>42</v>
      </c>
      <c r="F472" s="20">
        <v>1</v>
      </c>
      <c r="G472" s="16" t="s">
        <v>184</v>
      </c>
      <c r="H472" s="16" t="s">
        <v>260</v>
      </c>
      <c r="I472" s="16" t="s">
        <v>271</v>
      </c>
      <c r="J472" s="21">
        <v>46092</v>
      </c>
      <c r="K472" s="18">
        <v>46093</v>
      </c>
      <c r="L472" s="19" t="str">
        <f>CONCATENATE(NETWORKDAYS(Consumo_Mensal!$J472, Consumo_Mensal!$K472)-1, " dia")</f>
        <v>1 dia</v>
      </c>
      <c r="M472" s="23">
        <f>IFERROR(Consumo_Mensal!$F472*VLOOKUP(Consumo_Mensal!$E472,TBEstoque[[DESCRIÇÃO]:[VALOR UNIT. (R$)]],7,0), 0)</f>
        <v>35.362499999999997</v>
      </c>
    </row>
    <row r="473" spans="2:13" ht="16.8" hidden="1">
      <c r="B473" s="20" t="str">
        <f>"PED-" &amp; Consumo_Mensal!$H473 &amp; "-" &amp; TEXT(Consumo_Mensal!$J473, "ddmmaa")</f>
        <v>PED-Escritório Central - Sede-110326</v>
      </c>
      <c r="C473" s="15">
        <v>20812</v>
      </c>
      <c r="D473" s="20" t="s">
        <v>2</v>
      </c>
      <c r="E473" s="20" t="s">
        <v>17</v>
      </c>
      <c r="F473" s="20">
        <v>1</v>
      </c>
      <c r="G473" s="16" t="s">
        <v>183</v>
      </c>
      <c r="H473" s="16" t="s">
        <v>260</v>
      </c>
      <c r="I473" s="16" t="s">
        <v>271</v>
      </c>
      <c r="J473" s="21">
        <v>46092</v>
      </c>
      <c r="K473" s="18">
        <v>46093</v>
      </c>
      <c r="L473" s="19" t="str">
        <f>CONCATENATE(NETWORKDAYS(Consumo_Mensal!$J473, Consumo_Mensal!$K473)-1, " dia")</f>
        <v>1 dia</v>
      </c>
      <c r="M473" s="23">
        <f>IFERROR(Consumo_Mensal!$F473*VLOOKUP(Consumo_Mensal!$E473,TBEstoque[[DESCRIÇÃO]:[VALOR UNIT. (R$)]],7,0), 0)</f>
        <v>150.29349999999999</v>
      </c>
    </row>
    <row r="474" spans="2:13" ht="16.8" hidden="1">
      <c r="B474" s="20" t="str">
        <f>"PED-" &amp; Consumo_Mensal!$H474 &amp; "-" &amp; TEXT(Consumo_Mensal!$J474, "ddmmaa")</f>
        <v>PED-Escritório Central - Sede-110326</v>
      </c>
      <c r="C474" s="15">
        <v>20813</v>
      </c>
      <c r="D474" s="20" t="s">
        <v>2</v>
      </c>
      <c r="E474" s="20" t="s">
        <v>3</v>
      </c>
      <c r="F474" s="20">
        <v>1</v>
      </c>
      <c r="G474" s="16" t="s">
        <v>183</v>
      </c>
      <c r="H474" s="16" t="s">
        <v>260</v>
      </c>
      <c r="I474" s="16" t="s">
        <v>271</v>
      </c>
      <c r="J474" s="21">
        <v>46092</v>
      </c>
      <c r="K474" s="18">
        <v>46093</v>
      </c>
      <c r="L474" s="19" t="str">
        <f>CONCATENATE(NETWORKDAYS(Consumo_Mensal!$J474, Consumo_Mensal!$K474)-1, " dia")</f>
        <v>1 dia</v>
      </c>
      <c r="M474" s="23">
        <f>IFERROR(Consumo_Mensal!$F474*VLOOKUP(Consumo_Mensal!$E474,TBEstoque[[DESCRIÇÃO]:[VALOR UNIT. (R$)]],7,0), 0)</f>
        <v>136.5395</v>
      </c>
    </row>
    <row r="475" spans="2:13" ht="16.8" hidden="1">
      <c r="B475" s="20" t="str">
        <f>"PED-" &amp; Consumo_Mensal!$H475 &amp; "-" &amp; TEXT(Consumo_Mensal!$J475, "ddmmaa")</f>
        <v>PED-Escritório Central - Sede-110326</v>
      </c>
      <c r="C475" s="15">
        <v>20862</v>
      </c>
      <c r="D475" s="20" t="s">
        <v>2</v>
      </c>
      <c r="E475" s="20" t="s">
        <v>48</v>
      </c>
      <c r="F475" s="20">
        <v>5</v>
      </c>
      <c r="G475" s="20" t="s">
        <v>186</v>
      </c>
      <c r="H475" s="16" t="s">
        <v>260</v>
      </c>
      <c r="I475" s="16" t="s">
        <v>271</v>
      </c>
      <c r="J475" s="21">
        <v>46092</v>
      </c>
      <c r="K475" s="18">
        <v>46093</v>
      </c>
      <c r="L475" s="19" t="str">
        <f>CONCATENATE(NETWORKDAYS(Consumo_Mensal!$J475, Consumo_Mensal!$K475)-1, " dia")</f>
        <v>1 dia</v>
      </c>
      <c r="M475" s="23">
        <f>IFERROR(Consumo_Mensal!$F475*VLOOKUP(Consumo_Mensal!$E475,TBEstoque[[DESCRIÇÃO]:[VALOR UNIT. (R$)]],7,0), 0)</f>
        <v>30.13</v>
      </c>
    </row>
    <row r="476" spans="2:13" ht="16.8" hidden="1">
      <c r="B476" s="20" t="str">
        <f>"PED-" &amp; Consumo_Mensal!$H476 &amp; "-" &amp; TEXT(Consumo_Mensal!$J476, "ddmmaa")</f>
        <v>PED-Escritório Apoio - Gestão-130326</v>
      </c>
      <c r="C476" s="15">
        <v>20876</v>
      </c>
      <c r="D476" s="20" t="s">
        <v>2</v>
      </c>
      <c r="E476" s="20" t="s">
        <v>46</v>
      </c>
      <c r="F476" s="20">
        <v>2</v>
      </c>
      <c r="G476" s="16" t="s">
        <v>191</v>
      </c>
      <c r="H476" s="16" t="s">
        <v>261</v>
      </c>
      <c r="I476" s="16" t="s">
        <v>272</v>
      </c>
      <c r="J476" s="21">
        <v>46094</v>
      </c>
      <c r="K476" s="21">
        <v>46097</v>
      </c>
      <c r="L476" s="19" t="str">
        <f>CONCATENATE(NETWORKDAYS(Consumo_Mensal!$J476, Consumo_Mensal!$K476)-1, " dia")</f>
        <v>1 dia</v>
      </c>
      <c r="M476" s="23">
        <f>IFERROR(Consumo_Mensal!$F476*VLOOKUP(Consumo_Mensal!$E476,TBEstoque[[DESCRIÇÃO]:[VALOR UNIT. (R$)]],7,0), 0)</f>
        <v>134.54999999999998</v>
      </c>
    </row>
    <row r="477" spans="2:13" ht="16.8" hidden="1">
      <c r="B477" s="20" t="str">
        <f>"PED-" &amp; Consumo_Mensal!$H477 &amp; "-" &amp; TEXT(Consumo_Mensal!$J477, "ddmmaa")</f>
        <v>PED-Escritório Apoio - Gestão-130326</v>
      </c>
      <c r="C477" s="15">
        <v>20879</v>
      </c>
      <c r="D477" s="20" t="s">
        <v>2</v>
      </c>
      <c r="E477" s="20" t="s">
        <v>51</v>
      </c>
      <c r="F477" s="20">
        <v>2</v>
      </c>
      <c r="G477" s="16" t="s">
        <v>191</v>
      </c>
      <c r="H477" s="16" t="s">
        <v>261</v>
      </c>
      <c r="I477" s="16" t="s">
        <v>272</v>
      </c>
      <c r="J477" s="21">
        <v>46094</v>
      </c>
      <c r="K477" s="21">
        <v>46097</v>
      </c>
      <c r="L477" s="19" t="str">
        <f>CONCATENATE(NETWORKDAYS(Consumo_Mensal!$J477, Consumo_Mensal!$K477)-1, " dia")</f>
        <v>1 dia</v>
      </c>
      <c r="M477" s="23">
        <f>IFERROR(Consumo_Mensal!$F477*VLOOKUP(Consumo_Mensal!$E477,TBEstoque[[DESCRIÇÃO]:[VALOR UNIT. (R$)]],7,0), 0)</f>
        <v>69</v>
      </c>
    </row>
    <row r="478" spans="2:13" ht="16.8" hidden="1">
      <c r="B478" s="20" t="str">
        <f>"PED-" &amp; Consumo_Mensal!$H478 &amp; "-" &amp; TEXT(Consumo_Mensal!$J478, "ddmmaa")</f>
        <v>PED-Escritório Apoio - Gestão-130326</v>
      </c>
      <c r="C478" s="15">
        <v>20877</v>
      </c>
      <c r="D478" s="20" t="s">
        <v>2</v>
      </c>
      <c r="E478" s="20" t="s">
        <v>52</v>
      </c>
      <c r="F478" s="20">
        <v>2</v>
      </c>
      <c r="G478" s="16" t="s">
        <v>191</v>
      </c>
      <c r="H478" s="16" t="s">
        <v>261</v>
      </c>
      <c r="I478" s="16" t="s">
        <v>272</v>
      </c>
      <c r="J478" s="21">
        <v>46094</v>
      </c>
      <c r="K478" s="21">
        <v>46097</v>
      </c>
      <c r="L478" s="19" t="str">
        <f>CONCATENATE(NETWORKDAYS(Consumo_Mensal!$J478, Consumo_Mensal!$K478)-1, " dia")</f>
        <v>1 dia</v>
      </c>
      <c r="M478" s="23">
        <f>IFERROR(Consumo_Mensal!$F478*VLOOKUP(Consumo_Mensal!$E478,TBEstoque[[DESCRIÇÃO]:[VALOR UNIT. (R$)]],7,0), 0)</f>
        <v>48.3</v>
      </c>
    </row>
    <row r="479" spans="2:13" ht="16.8" hidden="1">
      <c r="B479" s="20" t="str">
        <f>"PED-" &amp; Consumo_Mensal!$H479 &amp; "-" &amp; TEXT(Consumo_Mensal!$J479, "ddmmaa")</f>
        <v>PED-Escritório Apoio - Gestão-130326</v>
      </c>
      <c r="C479" s="15">
        <v>20812</v>
      </c>
      <c r="D479" s="20" t="s">
        <v>2</v>
      </c>
      <c r="E479" s="20" t="s">
        <v>17</v>
      </c>
      <c r="F479" s="20">
        <v>5</v>
      </c>
      <c r="G479" s="16" t="s">
        <v>183</v>
      </c>
      <c r="H479" s="16" t="s">
        <v>261</v>
      </c>
      <c r="I479" s="16" t="s">
        <v>272</v>
      </c>
      <c r="J479" s="21">
        <v>46094</v>
      </c>
      <c r="K479" s="21">
        <v>46097</v>
      </c>
      <c r="L479" s="19" t="str">
        <f>CONCATENATE(NETWORKDAYS(Consumo_Mensal!$J479, Consumo_Mensal!$K479)-1, " dia")</f>
        <v>1 dia</v>
      </c>
      <c r="M479" s="23">
        <f>IFERROR(Consumo_Mensal!$F479*VLOOKUP(Consumo_Mensal!$E479,TBEstoque[[DESCRIÇÃO]:[VALOR UNIT. (R$)]],7,0), 0)</f>
        <v>751.46749999999997</v>
      </c>
    </row>
    <row r="480" spans="2:13" ht="16.8" hidden="1">
      <c r="B480" s="25" t="str">
        <f>"PED-" &amp; Consumo_Mensal!$H480 &amp; "-" &amp; TEXT(Consumo_Mensal!$J480, "ddmmaa")</f>
        <v>PED-Escritório Apoio - Gestão-130326</v>
      </c>
      <c r="C480" s="37">
        <v>20813</v>
      </c>
      <c r="D480" s="25" t="s">
        <v>2</v>
      </c>
      <c r="E480" s="25" t="s">
        <v>3</v>
      </c>
      <c r="F480" s="25">
        <v>5</v>
      </c>
      <c r="G480" s="16" t="s">
        <v>183</v>
      </c>
      <c r="H480" s="16" t="s">
        <v>261</v>
      </c>
      <c r="I480" s="16" t="s">
        <v>272</v>
      </c>
      <c r="J480" s="27">
        <v>46094</v>
      </c>
      <c r="K480" s="27">
        <v>46097</v>
      </c>
      <c r="L480" s="28" t="str">
        <f>CONCATENATE(NETWORKDAYS(Consumo_Mensal!$J480, Consumo_Mensal!$K480)-1, " dia")</f>
        <v>1 dia</v>
      </c>
      <c r="M480" s="23">
        <f>IFERROR(Consumo_Mensal!$F480*VLOOKUP(Consumo_Mensal!$E480,TBEstoque[[DESCRIÇÃO]:[VALOR UNIT. (R$)]],7,0), 0)</f>
        <v>682.69749999999999</v>
      </c>
    </row>
  </sheetData>
  <phoneticPr fontId="5" type="noConversion"/>
  <dataValidations count="1">
    <dataValidation type="list" allowBlank="1" showInputMessage="1" showErrorMessage="1" sqref="E332:E361 E364:E480" xr:uid="{675DBB7E-C76E-470F-81D6-39A310C0E434}">
      <formula1>INDIRECT(SUBSTITUTE(D332," ","_"))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FE79-7E55-4811-AE2C-5BD83D1A587B}">
  <sheetPr>
    <tabColor theme="0" tint="-0.499984740745262"/>
  </sheetPr>
  <dimension ref="B1:Q108"/>
  <sheetViews>
    <sheetView showGridLines="0" zoomScale="70" zoomScaleNormal="70" workbookViewId="0">
      <pane xSplit="1" ySplit="4" topLeftCell="B92" activePane="bottomRight" state="frozen"/>
      <selection pane="topRight" activeCell="B1" sqref="B1"/>
      <selection pane="bottomLeft" activeCell="A5" sqref="A5"/>
      <selection pane="bottomRight" activeCell="Q92" sqref="Q92"/>
    </sheetView>
  </sheetViews>
  <sheetFormatPr defaultRowHeight="16.8"/>
  <cols>
    <col min="1" max="1" width="5.69921875" customWidth="1"/>
    <col min="2" max="2" width="7.19921875" style="10" bestFit="1" customWidth="1"/>
    <col min="3" max="3" width="17.3984375" style="10" bestFit="1" customWidth="1"/>
    <col min="4" max="4" width="59.796875" style="10" bestFit="1" customWidth="1"/>
    <col min="5" max="5" width="17.19921875" style="10" bestFit="1" customWidth="1"/>
    <col min="6" max="6" width="18.796875" style="39" bestFit="1" customWidth="1"/>
    <col min="7" max="7" width="20.09765625" style="10" bestFit="1" customWidth="1"/>
    <col min="8" max="8" width="19.19921875" style="10" bestFit="1" customWidth="1"/>
    <col min="9" max="9" width="22.09765625" style="10" bestFit="1" customWidth="1"/>
    <col min="10" max="10" width="18" style="10" bestFit="1" customWidth="1"/>
    <col min="11" max="11" width="19.5" style="10" bestFit="1" customWidth="1"/>
    <col min="12" max="12" width="21.796875" style="10" customWidth="1"/>
    <col min="13" max="13" width="20.69921875" style="10" bestFit="1" customWidth="1"/>
    <col min="14" max="14" width="29.5" style="10" bestFit="1" customWidth="1"/>
    <col min="15" max="15" width="19.19921875" style="10" bestFit="1" customWidth="1"/>
    <col min="16" max="16" width="24.69921875" style="10" bestFit="1" customWidth="1"/>
    <col min="17" max="17" width="65.5" style="10" bestFit="1" customWidth="1"/>
  </cols>
  <sheetData>
    <row r="1" spans="2:17" ht="13.8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spans="2:17" ht="39.6" customHeigh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spans="2:17">
      <c r="B3"/>
      <c r="C3"/>
      <c r="D3"/>
      <c r="E3"/>
      <c r="F3"/>
      <c r="G3"/>
      <c r="H3"/>
      <c r="I3"/>
      <c r="J3"/>
      <c r="K3"/>
      <c r="L3"/>
      <c r="P3"/>
    </row>
    <row r="4" spans="2:17">
      <c r="B4" s="30" t="s">
        <v>0</v>
      </c>
      <c r="C4" s="30" t="s">
        <v>137</v>
      </c>
      <c r="D4" s="30" t="s">
        <v>128</v>
      </c>
      <c r="E4" s="30" t="s">
        <v>129</v>
      </c>
      <c r="F4" s="30" t="s">
        <v>175</v>
      </c>
      <c r="G4" s="30" t="s">
        <v>192</v>
      </c>
      <c r="H4" s="30" t="s">
        <v>139</v>
      </c>
      <c r="I4" s="30" t="s">
        <v>193</v>
      </c>
      <c r="J4" s="30" t="s">
        <v>194</v>
      </c>
      <c r="K4" s="30" t="s">
        <v>179</v>
      </c>
      <c r="L4" s="30" t="s">
        <v>180</v>
      </c>
      <c r="M4" s="30" t="s">
        <v>135</v>
      </c>
      <c r="N4" s="30" t="s">
        <v>199</v>
      </c>
      <c r="O4" s="30" t="s">
        <v>181</v>
      </c>
      <c r="P4" s="30" t="s">
        <v>225</v>
      </c>
      <c r="Q4" s="30" t="s">
        <v>138</v>
      </c>
    </row>
    <row r="5" spans="2:17">
      <c r="B5" s="20">
        <f>TBEstoque[[#This Row],[SKU]]</f>
        <v>20814</v>
      </c>
      <c r="C5" s="20" t="str">
        <f>IF(TBEstoque[[#This Row],[SKU]]=TBSuprimentos[[#This Row],[SKU]],TBEstoque[[#This Row],[CATEGÓRIA]]," ")</f>
        <v>Copa</v>
      </c>
      <c r="D5" s="20" t="str">
        <f>IF(TBSuprimentos[[#This Row],[SKU]]=TBEstoque[[#This Row],[SKU]],TBEstoque[[#This Row],[DESCRIÇÃO]]," ")</f>
        <v>AÇÚCAR (UNID) PACOTE 1 KG</v>
      </c>
      <c r="E5" s="20" t="str">
        <f>IF(TBSuprimentos[[#This Row],[SKU]]=TBEstoque[[#This Row],[SKU]],TBEstoque[[#This Row],[UNID. MEDIDA]]," ")</f>
        <v>Pct</v>
      </c>
      <c r="F5" s="31">
        <f>_xlfn.XLOOKUP(TBSuprimentos[[#This Row],[SKU]], TBEstoque[SKU], TBEstoque[ESTOQUE ATUAL], 0) - SUMIF(TBConsumo[SKU], TBSuprimentos[[#This Row],[SKU]], TBConsumo[QTDE SOLICITADA])</f>
        <v>42</v>
      </c>
      <c r="G5" s="31">
        <f>VLOOKUP(TBSuprimentos[[#This Row],[DESCRIÇÃO]],TBEstoque[[DESCRIÇÃO]:[CONSUMO MÉDIO MENSAL]],4,0)</f>
        <v>50</v>
      </c>
      <c r="H5" s="40" t="str">
        <f>IF(F5 &lt;= (G5/30)*20, "RUPTURA",
 IF(F5 &lt; G5, "COMPRA IMEDIATA",
 IF(F5 &gt; G5*2, "EXCESSO", "SAUDÁVEL")))</f>
        <v>COMPRA IMEDIATA</v>
      </c>
      <c r="I5" s="20">
        <v>10</v>
      </c>
      <c r="J5" s="22" t="s">
        <v>195</v>
      </c>
      <c r="K5" s="31" t="str">
        <f>IF(OR(H5="COMPRA IMEDIATA", H5="RUPTURA"), IF(ROUNDUP((MAX(IF(OR(C5="Copa",C5="Limpeza"), F5*2, F5*4), G5+F5) - F5) / I5, 0)&lt;=0, "---", ROUNDUP((MAX(IF(OR(C5="Copa",C5="Limpeza"), F5*2, F5*4), G5+F5) - F5) / I5, 0) * I5 &amp; " " &amp; E5), "---")</f>
        <v>50 Pct</v>
      </c>
      <c r="L5" s="24">
        <f>IF(OR(H5="COMPRA IMEDIATA", H5="RUPTURA"), IF(K5="---", 0, _xlfn.XLOOKUP(B5, TBEstoque[SKU], TBEstoque[VALOR UNIT. (R$)]) * VALUE(LEFT(K5, SEARCH(" ", K5)-1))), "---")</f>
        <v>340.97499999999997</v>
      </c>
      <c r="M5" s="18">
        <v>46097</v>
      </c>
      <c r="N5" s="19">
        <v>15</v>
      </c>
      <c r="O5" s="18">
        <f>IF(OR(H5="COMPRA IMEDIATA", H5="RUPTURA"), WORKDAY(M5,N5,Feriados!$A$3:$A$19),"---")</f>
        <v>46119</v>
      </c>
      <c r="P5" s="31"/>
      <c r="Q5" s="20" t="str">
        <f>IFERROR(_xlfn.LET(_xlpm.f, _xlfn.XLOOKUP(D5, TBEstoque[DESCRIÇÃO], TBEstoque[FORNECEDOR], "---"), IF(_xlpm.f=0, "---", _xlpm.f)), "---")</f>
        <v>FORNECEDOR 01</v>
      </c>
    </row>
    <row r="6" spans="2:17">
      <c r="B6" s="17">
        <f>TBEstoque[[#This Row],[SKU]]</f>
        <v>20815</v>
      </c>
      <c r="C6" s="20" t="str">
        <f>IF(TBEstoque[[#This Row],[SKU]]=TBSuprimentos[[#This Row],[SKU]],TBEstoque[[#This Row],[CATEGÓRIA]]," ")</f>
        <v>Copa</v>
      </c>
      <c r="D6" s="20" t="str">
        <f>IF(TBSuprimentos[[#This Row],[SKU]]=TBEstoque[[#This Row],[SKU]],TBEstoque[[#This Row],[DESCRIÇÃO]]," ")</f>
        <v>CAFÉ EM GRÃO MÁQUINA (UNID)</v>
      </c>
      <c r="E6" s="20" t="str">
        <f>IF(TBSuprimentos[[#This Row],[SKU]]=TBEstoque[[#This Row],[SKU]],TBEstoque[[#This Row],[UNID. MEDIDA]]," ")</f>
        <v>Pct</v>
      </c>
      <c r="F6" s="31">
        <f>_xlfn.XLOOKUP(TBSuprimentos[[#This Row],[SKU]], TBEstoque[SKU], TBEstoque[ESTOQUE ATUAL], 0) - SUMIF(TBConsumo[SKU], TBSuprimentos[[#This Row],[SKU]], TBConsumo[QTDE SOLICITADA])</f>
        <v>146</v>
      </c>
      <c r="G6" s="31">
        <f>VLOOKUP(TBSuprimentos[[#This Row],[DESCRIÇÃO]],TBEstoque[[DESCRIÇÃO]:[CONSUMO MÉDIO MENSAL]],4,0)</f>
        <v>100</v>
      </c>
      <c r="H6" s="40" t="str">
        <f t="shared" ref="H6:H68" si="0">IF(F6 &lt;= (G6/30)*20, "RUPTURA",
 IF(F6 &lt; G6, "COMPRA IMEDIATA",
 IF(F6 &gt; G6*2, "EXCESSO", "SAUDÁVEL")))</f>
        <v>SAUDÁVEL</v>
      </c>
      <c r="I6" s="20">
        <v>5</v>
      </c>
      <c r="J6" s="22" t="s">
        <v>195</v>
      </c>
      <c r="K6" s="31" t="str">
        <f t="shared" ref="K6:K69" si="1">IF(OR(H6="COMPRA IMEDIATA", H6="RUPTURA"), IF(ROUNDUP((MAX(IF(OR(C6="Copa",C6="Limpeza"), F6*2, F6*4), G6+F6) - F6) / I6, 0)&lt;=0, "---", ROUNDUP((MAX(IF(OR(C6="Copa",C6="Limpeza"), F6*2, F6*4), G6+F6) - F6) / I6, 0) * I6 &amp; " " &amp; E6), "---")</f>
        <v>---</v>
      </c>
      <c r="L6" s="24" t="str">
        <f>IF(OR(H6="COMPRA IMEDIATA", H6="RUPTURA"), IF(K6="---", 0, _xlfn.XLOOKUP(B6, TBEstoque[SKU], TBEstoque[VALOR UNIT. (R$)]) * VALUE(LEFT(K6, SEARCH(" ", K6)-1))), "---")</f>
        <v>---</v>
      </c>
      <c r="M6" s="18">
        <v>46097</v>
      </c>
      <c r="N6" s="19">
        <v>15</v>
      </c>
      <c r="O6" s="18" t="str">
        <f>IF(OR(H6="COMPRA IMEDIATA", H6="RUPTURA"), WORKDAY(M6,N6,Feriados!$A$3:$A$19),"---")</f>
        <v>---</v>
      </c>
      <c r="P6" s="31"/>
      <c r="Q6" s="20" t="str">
        <f>IFERROR(_xlfn.LET(_xlpm.f, _xlfn.XLOOKUP(D6, TBEstoque[DESCRIÇÃO], TBEstoque[FORNECEDOR], "---"), IF(_xlpm.f=0, "---", _xlpm.f)), "---")</f>
        <v>FORNECEDOR 02</v>
      </c>
    </row>
    <row r="7" spans="2:17">
      <c r="B7" s="17">
        <f>TBEstoque[[#This Row],[SKU]]</f>
        <v>20816</v>
      </c>
      <c r="C7" s="20" t="str">
        <f>IF(TBEstoque[[#This Row],[SKU]]=TBSuprimentos[[#This Row],[SKU]],TBEstoque[[#This Row],[CATEGÓRIA]]," ")</f>
        <v>Copa</v>
      </c>
      <c r="D7" s="20" t="str">
        <f>IF(TBSuprimentos[[#This Row],[SKU]]=TBEstoque[[#This Row],[SKU]],TBEstoque[[#This Row],[DESCRIÇÃO]]," ")</f>
        <v>CAFÉ EM PÓ (UNID) PACOTE 500 GRAMAS</v>
      </c>
      <c r="E7" s="20" t="str">
        <f>IF(TBSuprimentos[[#This Row],[SKU]]=TBEstoque[[#This Row],[SKU]],TBEstoque[[#This Row],[UNID. MEDIDA]]," ")</f>
        <v>Pct</v>
      </c>
      <c r="F7" s="31">
        <f>_xlfn.XLOOKUP(TBSuprimentos[[#This Row],[SKU]], TBEstoque[SKU], TBEstoque[ESTOQUE ATUAL], 0) - SUMIF(TBConsumo[SKU], TBSuprimentos[[#This Row],[SKU]], TBConsumo[QTDE SOLICITADA])</f>
        <v>38</v>
      </c>
      <c r="G7" s="31">
        <f>VLOOKUP(TBSuprimentos[[#This Row],[DESCRIÇÃO]],TBEstoque[[DESCRIÇÃO]:[CONSUMO MÉDIO MENSAL]],4,0)</f>
        <v>40</v>
      </c>
      <c r="H7" s="40" t="str">
        <f t="shared" si="0"/>
        <v>COMPRA IMEDIATA</v>
      </c>
      <c r="I7" s="20">
        <v>20</v>
      </c>
      <c r="J7" s="22" t="s">
        <v>4</v>
      </c>
      <c r="K7" s="31" t="str">
        <f t="shared" si="1"/>
        <v>40 Pct</v>
      </c>
      <c r="L7" s="24">
        <f>IF(OR(H7="COMPRA IMEDIATA", H7="RUPTURA"), IF(K7="---", 0, _xlfn.XLOOKUP(B7, TBEstoque[SKU], TBEstoque[VALOR UNIT. (R$)]) * VALUE(LEFT(K7, SEARCH(" ", K7)-1))), "---")</f>
        <v>2065.3999999999996</v>
      </c>
      <c r="M7" s="18">
        <v>46097</v>
      </c>
      <c r="N7" s="19">
        <v>15</v>
      </c>
      <c r="O7" s="18">
        <f>IF(OR(H7="COMPRA IMEDIATA", H7="RUPTURA"), WORKDAY(M7,N7,Feriados!$A$3:$A$19),"---")</f>
        <v>46119</v>
      </c>
      <c r="P7" s="31"/>
      <c r="Q7" s="20" t="str">
        <f>IFERROR(_xlfn.LET(_xlpm.f, _xlfn.XLOOKUP(D7, TBEstoque[DESCRIÇÃO], TBEstoque[FORNECEDOR], "---"), IF(_xlpm.f=0, "---", _xlpm.f)), "---")</f>
        <v>FORNECEDOR 03</v>
      </c>
    </row>
    <row r="8" spans="2:17">
      <c r="B8" s="17">
        <f>TBEstoque[[#This Row],[SKU]]</f>
        <v>20817</v>
      </c>
      <c r="C8" s="20" t="str">
        <f>IF(TBEstoque[[#This Row],[SKU]]=TBSuprimentos[[#This Row],[SKU]],TBEstoque[[#This Row],[CATEGÓRIA]]," ")</f>
        <v>Copa</v>
      </c>
      <c r="D8" s="20" t="str">
        <f>IF(TBSuprimentos[[#This Row],[SKU]]=TBEstoque[[#This Row],[SKU]],TBEstoque[[#This Row],[DESCRIÇÃO]]," ")</f>
        <v>CHOCOLATE EM PÓ 1KG (UNID)</v>
      </c>
      <c r="E8" s="20" t="str">
        <f>IF(TBSuprimentos[[#This Row],[SKU]]=TBEstoque[[#This Row],[SKU]],TBEstoque[[#This Row],[UNID. MEDIDA]]," ")</f>
        <v>Pct</v>
      </c>
      <c r="F8" s="31">
        <f>_xlfn.XLOOKUP(TBSuprimentos[[#This Row],[SKU]], TBEstoque[SKU], TBEstoque[ESTOQUE ATUAL], 0) - SUMIF(TBConsumo[SKU], TBSuprimentos[[#This Row],[SKU]], TBConsumo[QTDE SOLICITADA])</f>
        <v>121</v>
      </c>
      <c r="G8" s="31">
        <f>VLOOKUP(TBSuprimentos[[#This Row],[DESCRIÇÃO]],TBEstoque[[DESCRIÇÃO]:[CONSUMO MÉDIO MENSAL]],4,0)</f>
        <v>120</v>
      </c>
      <c r="H8" s="40" t="str">
        <f t="shared" si="0"/>
        <v>SAUDÁVEL</v>
      </c>
      <c r="I8" s="20">
        <v>10</v>
      </c>
      <c r="J8" s="22" t="s">
        <v>4</v>
      </c>
      <c r="K8" s="31" t="str">
        <f t="shared" si="1"/>
        <v>---</v>
      </c>
      <c r="L8" s="24" t="str">
        <f>IF(OR(H8="COMPRA IMEDIATA", H8="RUPTURA"), IF(K8="---", 0, _xlfn.XLOOKUP(B8, TBEstoque[SKU], TBEstoque[VALOR UNIT. (R$)]) * VALUE(LEFT(K8, SEARCH(" ", K8)-1))), "---")</f>
        <v>---</v>
      </c>
      <c r="M8" s="18">
        <v>46097</v>
      </c>
      <c r="N8" s="19">
        <v>15</v>
      </c>
      <c r="O8" s="18" t="str">
        <f>IF(OR(H8="COMPRA IMEDIATA", H8="RUPTURA"), WORKDAY(M8,N8,Feriados!$A$3:$A$19),"---")</f>
        <v>---</v>
      </c>
      <c r="P8" s="31"/>
      <c r="Q8" s="20" t="str">
        <f>IFERROR(_xlfn.LET(_xlpm.f, _xlfn.XLOOKUP(D8, TBEstoque[DESCRIÇÃO], TBEstoque[FORNECEDOR], "---"), IF(_xlpm.f=0, "---", _xlpm.f)), "---")</f>
        <v>FORNECEDOR 04</v>
      </c>
    </row>
    <row r="9" spans="2:17">
      <c r="B9" s="17">
        <f>TBEstoque[[#This Row],[SKU]]</f>
        <v>20818</v>
      </c>
      <c r="C9" s="20" t="str">
        <f>IF(TBEstoque[[#This Row],[SKU]]=TBSuprimentos[[#This Row],[SKU]],TBEstoque[[#This Row],[CATEGÓRIA]]," ")</f>
        <v>Copa</v>
      </c>
      <c r="D9" s="20" t="str">
        <f>IF(TBSuprimentos[[#This Row],[SKU]]=TBEstoque[[#This Row],[SKU]],TBEstoque[[#This Row],[DESCRIÇÃO]]," ")</f>
        <v>COPO DESCARTÁVEL 160ML (PCT)</v>
      </c>
      <c r="E9" s="20" t="str">
        <f>IF(TBSuprimentos[[#This Row],[SKU]]=TBEstoque[[#This Row],[SKU]],TBEstoque[[#This Row],[UNID. MEDIDA]]," ")</f>
        <v>Pct</v>
      </c>
      <c r="F9" s="31">
        <f>_xlfn.XLOOKUP(TBSuprimentos[[#This Row],[SKU]], TBEstoque[SKU], TBEstoque[ESTOQUE ATUAL], 0) - SUMIF(TBConsumo[SKU], TBSuprimentos[[#This Row],[SKU]], TBConsumo[QTDE SOLICITADA])</f>
        <v>38</v>
      </c>
      <c r="G9" s="31">
        <f>VLOOKUP(TBSuprimentos[[#This Row],[DESCRIÇÃO]],TBEstoque[[DESCRIÇÃO]:[CONSUMO MÉDIO MENSAL]],4,0)</f>
        <v>20</v>
      </c>
      <c r="H9" s="40" t="str">
        <f t="shared" si="0"/>
        <v>SAUDÁVEL</v>
      </c>
      <c r="I9" s="20">
        <v>30</v>
      </c>
      <c r="J9" s="22" t="s">
        <v>4</v>
      </c>
      <c r="K9" s="31" t="str">
        <f t="shared" si="1"/>
        <v>---</v>
      </c>
      <c r="L9" s="24" t="str">
        <f>IF(OR(H9="COMPRA IMEDIATA", H9="RUPTURA"), IF(K9="---", 0, _xlfn.XLOOKUP(B9, TBEstoque[SKU], TBEstoque[VALOR UNIT. (R$)]) * VALUE(LEFT(K9, SEARCH(" ", K9)-1))), "---")</f>
        <v>---</v>
      </c>
      <c r="M9" s="18">
        <v>46097</v>
      </c>
      <c r="N9" s="19">
        <v>15</v>
      </c>
      <c r="O9" s="18" t="str">
        <f>IF(OR(H9="COMPRA IMEDIATA", H9="RUPTURA"), WORKDAY(M9,N9,Feriados!$A$3:$A$19),"---")</f>
        <v>---</v>
      </c>
      <c r="P9" s="31"/>
      <c r="Q9" s="20" t="str">
        <f>IFERROR(_xlfn.LET(_xlpm.f, _xlfn.XLOOKUP(D9, TBEstoque[DESCRIÇÃO], TBEstoque[FORNECEDOR], "---"), IF(_xlpm.f=0, "---", _xlpm.f)), "---")</f>
        <v>FORNECEDOR 05</v>
      </c>
    </row>
    <row r="10" spans="2:17">
      <c r="B10" s="17">
        <f>TBEstoque[[#This Row],[SKU]]</f>
        <v>20819</v>
      </c>
      <c r="C10" s="20" t="str">
        <f>IF(TBEstoque[[#This Row],[SKU]]=TBSuprimentos[[#This Row],[SKU]],TBEstoque[[#This Row],[CATEGÓRIA]]," ")</f>
        <v>Copa</v>
      </c>
      <c r="D10" s="20" t="str">
        <f>IF(TBSuprimentos[[#This Row],[SKU]]=TBEstoque[[#This Row],[SKU]],TBEstoque[[#This Row],[DESCRIÇÃO]]," ")</f>
        <v>COPO DESCARTÁVEL 180ML (PCT)</v>
      </c>
      <c r="E10" s="20" t="str">
        <f>IF(TBSuprimentos[[#This Row],[SKU]]=TBEstoque[[#This Row],[SKU]],TBEstoque[[#This Row],[UNID. MEDIDA]]," ")</f>
        <v>Pct</v>
      </c>
      <c r="F10" s="31">
        <f>_xlfn.XLOOKUP(TBSuprimentos[[#This Row],[SKU]], TBEstoque[SKU], TBEstoque[ESTOQUE ATUAL], 0) - SUMIF(TBConsumo[SKU], TBSuprimentos[[#This Row],[SKU]], TBConsumo[QTDE SOLICITADA])</f>
        <v>121</v>
      </c>
      <c r="G10" s="31">
        <f>VLOOKUP(TBSuprimentos[[#This Row],[DESCRIÇÃO]],TBEstoque[[DESCRIÇÃO]:[CONSUMO MÉDIO MENSAL]],4,0)</f>
        <v>50</v>
      </c>
      <c r="H10" s="40" t="str">
        <f t="shared" si="0"/>
        <v>EXCESSO</v>
      </c>
      <c r="I10" s="20">
        <v>25</v>
      </c>
      <c r="J10" s="22" t="s">
        <v>4</v>
      </c>
      <c r="K10" s="31" t="str">
        <f t="shared" si="1"/>
        <v>---</v>
      </c>
      <c r="L10" s="24" t="str">
        <f>IF(OR(H10="COMPRA IMEDIATA", H10="RUPTURA"), IF(K10="---", 0, _xlfn.XLOOKUP(B10, TBEstoque[SKU], TBEstoque[VALOR UNIT. (R$)]) * VALUE(LEFT(K10, SEARCH(" ", K10)-1))), "---")</f>
        <v>---</v>
      </c>
      <c r="M10" s="18">
        <v>46097</v>
      </c>
      <c r="N10" s="19">
        <v>15</v>
      </c>
      <c r="O10" s="18" t="str">
        <f>IF(OR(H10="COMPRA IMEDIATA", H10="RUPTURA"), WORKDAY(M10,N10,Feriados!$A$3:$A$19),"---")</f>
        <v>---</v>
      </c>
      <c r="P10" s="31"/>
      <c r="Q10" s="20" t="str">
        <f>IFERROR(_xlfn.LET(_xlpm.f, _xlfn.XLOOKUP(D10, TBEstoque[DESCRIÇÃO], TBEstoque[FORNECEDOR], "---"), IF(_xlpm.f=0, "---", _xlpm.f)), "---")</f>
        <v>FORNECEDOR 06</v>
      </c>
    </row>
    <row r="11" spans="2:17">
      <c r="B11" s="17">
        <f>TBEstoque[[#This Row],[SKU]]</f>
        <v>20820</v>
      </c>
      <c r="C11" s="20" t="str">
        <f>IF(TBEstoque[[#This Row],[SKU]]=TBSuprimentos[[#This Row],[SKU]],TBEstoque[[#This Row],[CATEGÓRIA]]," ")</f>
        <v>Copa</v>
      </c>
      <c r="D11" s="20" t="str">
        <f>IF(TBSuprimentos[[#This Row],[SKU]]=TBEstoque[[#This Row],[SKU]],TBEstoque[[#This Row],[DESCRIÇÃO]]," ")</f>
        <v>COPO DESCARTÁVEL 80ML (PCT)</v>
      </c>
      <c r="E11" s="20" t="str">
        <f>IF(TBSuprimentos[[#This Row],[SKU]]=TBEstoque[[#This Row],[SKU]],TBEstoque[[#This Row],[UNID. MEDIDA]]," ")</f>
        <v>Pct</v>
      </c>
      <c r="F11" s="31">
        <f>_xlfn.XLOOKUP(TBSuprimentos[[#This Row],[SKU]], TBEstoque[SKU], TBEstoque[ESTOQUE ATUAL], 0) - SUMIF(TBConsumo[SKU], TBSuprimentos[[#This Row],[SKU]], TBConsumo[QTDE SOLICITADA])</f>
        <v>13</v>
      </c>
      <c r="G11" s="31">
        <f>VLOOKUP(TBSuprimentos[[#This Row],[DESCRIÇÃO]],TBEstoque[[DESCRIÇÃO]:[CONSUMO MÉDIO MENSAL]],4,0)</f>
        <v>10</v>
      </c>
      <c r="H11" s="40" t="str">
        <f t="shared" si="0"/>
        <v>SAUDÁVEL</v>
      </c>
      <c r="I11" s="20">
        <v>25</v>
      </c>
      <c r="J11" s="22" t="s">
        <v>4</v>
      </c>
      <c r="K11" s="31" t="str">
        <f t="shared" si="1"/>
        <v>---</v>
      </c>
      <c r="L11" s="24" t="str">
        <f>IF(OR(H11="COMPRA IMEDIATA", H11="RUPTURA"), IF(K11="---", 0, _xlfn.XLOOKUP(B11, TBEstoque[SKU], TBEstoque[VALOR UNIT. (R$)]) * VALUE(LEFT(K11, SEARCH(" ", K11)-1))), "---")</f>
        <v>---</v>
      </c>
      <c r="M11" s="18">
        <v>46097</v>
      </c>
      <c r="N11" s="19">
        <v>15</v>
      </c>
      <c r="O11" s="18" t="str">
        <f>IF(OR(H11="COMPRA IMEDIATA", H11="RUPTURA"), WORKDAY(M11,N11,Feriados!$A$3:$A$19),"---")</f>
        <v>---</v>
      </c>
      <c r="P11" s="31"/>
      <c r="Q11" s="20" t="str">
        <f>IFERROR(_xlfn.LET(_xlpm.f, _xlfn.XLOOKUP(D11, TBEstoque[DESCRIÇÃO], TBEstoque[FORNECEDOR], "---"), IF(_xlpm.f=0, "---", _xlpm.f)), "---")</f>
        <v>FORNECEDOR 07</v>
      </c>
    </row>
    <row r="12" spans="2:17">
      <c r="B12" s="17">
        <f>TBEstoque[[#This Row],[SKU]]</f>
        <v>20821</v>
      </c>
      <c r="C12" s="20" t="str">
        <f>IF(TBEstoque[[#This Row],[SKU]]=TBSuprimentos[[#This Row],[SKU]],TBEstoque[[#This Row],[CATEGÓRIA]]," ")</f>
        <v>Copa</v>
      </c>
      <c r="D12" s="20" t="str">
        <f>IF(TBSuprimentos[[#This Row],[SKU]]=TBEstoque[[#This Row],[SKU]],TBEstoque[[#This Row],[DESCRIÇÃO]]," ")</f>
        <v>LEITE EM PÓ 400 G (UNID)</v>
      </c>
      <c r="E12" s="20" t="str">
        <f>IF(TBSuprimentos[[#This Row],[SKU]]=TBEstoque[[#This Row],[SKU]],TBEstoque[[#This Row],[UNID. MEDIDA]]," ")</f>
        <v>Pct</v>
      </c>
      <c r="F12" s="31">
        <f>_xlfn.XLOOKUP(TBSuprimentos[[#This Row],[SKU]], TBEstoque[SKU], TBEstoque[ESTOQUE ATUAL], 0) - SUMIF(TBConsumo[SKU], TBSuprimentos[[#This Row],[SKU]], TBConsumo[QTDE SOLICITADA])</f>
        <v>164</v>
      </c>
      <c r="G12" s="31">
        <f>VLOOKUP(TBSuprimentos[[#This Row],[DESCRIÇÃO]],TBEstoque[[DESCRIÇÃO]:[CONSUMO MÉDIO MENSAL]],4,0)</f>
        <v>200</v>
      </c>
      <c r="H12" s="40" t="str">
        <f t="shared" si="0"/>
        <v>COMPRA IMEDIATA</v>
      </c>
      <c r="I12" s="20">
        <v>25</v>
      </c>
      <c r="J12" s="22" t="s">
        <v>195</v>
      </c>
      <c r="K12" s="31" t="str">
        <f t="shared" si="1"/>
        <v>200 Pct</v>
      </c>
      <c r="L12" s="24">
        <f>IF(OR(H12="COMPRA IMEDIATA", H12="RUPTURA"), IF(K12="---", 0, _xlfn.XLOOKUP(B12, TBEstoque[SKU], TBEstoque[VALOR UNIT. (R$)]) * VALUE(LEFT(K12, SEARCH(" ", K12)-1))), "---")</f>
        <v>5520</v>
      </c>
      <c r="M12" s="18">
        <v>46097</v>
      </c>
      <c r="N12" s="19">
        <v>15</v>
      </c>
      <c r="O12" s="18">
        <f>IF(OR(H12="COMPRA IMEDIATA", H12="RUPTURA"), WORKDAY(M12,N12,Feriados!$A$3:$A$19),"---")</f>
        <v>46119</v>
      </c>
      <c r="P12" s="31"/>
      <c r="Q12" s="20" t="str">
        <f>IFERROR(_xlfn.LET(_xlpm.f, _xlfn.XLOOKUP(D12, TBEstoque[DESCRIÇÃO], TBEstoque[FORNECEDOR], "---"), IF(_xlpm.f=0, "---", _xlpm.f)), "---")</f>
        <v>FORNECEDOR 08</v>
      </c>
    </row>
    <row r="13" spans="2:17">
      <c r="B13" s="17">
        <f>TBEstoque[[#This Row],[SKU]]</f>
        <v>832</v>
      </c>
      <c r="C13" s="20" t="str">
        <f>IF(TBEstoque[[#This Row],[SKU]]=TBSuprimentos[[#This Row],[SKU]],TBEstoque[[#This Row],[CATEGÓRIA]]," ")</f>
        <v>Expedição</v>
      </c>
      <c r="D13" s="20" t="str">
        <f>IF(TBSuprimentos[[#This Row],[SKU]]=TBEstoque[[#This Row],[SKU]],TBEstoque[[#This Row],[DESCRIÇÃO]]," ")</f>
        <v>ÁGUA DESMINERALIZADA 5 LT</v>
      </c>
      <c r="E13" s="20" t="str">
        <f>IF(TBSuprimentos[[#This Row],[SKU]]=TBEstoque[[#This Row],[SKU]],TBEstoque[[#This Row],[UNID. MEDIDA]]," ")</f>
        <v>Gl</v>
      </c>
      <c r="F13" s="31">
        <f>_xlfn.XLOOKUP(TBSuprimentos[[#This Row],[SKU]], TBEstoque[SKU], TBEstoque[ESTOQUE ATUAL], 0) - SUMIF(TBConsumo[SKU], TBSuprimentos[[#This Row],[SKU]], TBConsumo[QTDE SOLICITADA])</f>
        <v>10</v>
      </c>
      <c r="G13" s="31">
        <f>VLOOKUP(TBSuprimentos[[#This Row],[DESCRIÇÃO]],TBEstoque[[DESCRIÇÃO]:[CONSUMO MÉDIO MENSAL]],4,0)</f>
        <v>1</v>
      </c>
      <c r="H13" s="40" t="str">
        <f t="shared" si="0"/>
        <v>EXCESSO</v>
      </c>
      <c r="I13" s="20">
        <v>1</v>
      </c>
      <c r="J13" s="22" t="s">
        <v>14</v>
      </c>
      <c r="K13" s="31" t="str">
        <f t="shared" si="1"/>
        <v>---</v>
      </c>
      <c r="L13" s="24" t="str">
        <f>IF(OR(H13="COMPRA IMEDIATA", H13="RUPTURA"), IF(K13="---", 0, _xlfn.XLOOKUP(B13, TBEstoque[SKU], TBEstoque[VALOR UNIT. (R$)]) * VALUE(LEFT(K13, SEARCH(" ", K13)-1))), "---")</f>
        <v>---</v>
      </c>
      <c r="M13" s="18">
        <v>46097</v>
      </c>
      <c r="N13" s="19">
        <v>15</v>
      </c>
      <c r="O13" s="18" t="str">
        <f>IF(OR(H13="COMPRA IMEDIATA", H13="RUPTURA"), WORKDAY(M13,N13,Feriados!$A$3:$A$19),"---")</f>
        <v>---</v>
      </c>
      <c r="P13" s="31"/>
      <c r="Q13" s="20" t="str">
        <f>IFERROR(_xlfn.LET(_xlpm.f, _xlfn.XLOOKUP(D13, TBEstoque[DESCRIÇÃO], TBEstoque[FORNECEDOR], "---"), IF(_xlpm.f=0, "---", _xlpm.f)), "---")</f>
        <v>FORNECEDOR 09</v>
      </c>
    </row>
    <row r="14" spans="2:17">
      <c r="B14" s="17">
        <f>TBEstoque[[#This Row],[SKU]]</f>
        <v>20822</v>
      </c>
      <c r="C14" s="20" t="str">
        <f>IF(TBEstoque[[#This Row],[SKU]]=TBSuprimentos[[#This Row],[SKU]],TBEstoque[[#This Row],[CATEGÓRIA]]," ")</f>
        <v>Expedição</v>
      </c>
      <c r="D14" s="20" t="str">
        <f>IF(TBSuprimentos[[#This Row],[SKU]]=TBEstoque[[#This Row],[SKU]],TBEstoque[[#This Row],[DESCRIÇÃO]]," ")</f>
        <v>BOBINA MANTA BOLHA ALMOFADA MAQUINA WORLD POST (UNID)</v>
      </c>
      <c r="E14" s="20" t="str">
        <f>IF(TBSuprimentos[[#This Row],[SKU]]=TBEstoque[[#This Row],[SKU]],TBEstoque[[#This Row],[UNID. MEDIDA]]," ")</f>
        <v>Unid</v>
      </c>
      <c r="F14" s="31">
        <f>_xlfn.XLOOKUP(TBSuprimentos[[#This Row],[SKU]], TBEstoque[SKU], TBEstoque[ESTOQUE ATUAL], 0) - SUMIF(TBConsumo[SKU], TBSuprimentos[[#This Row],[SKU]], TBConsumo[QTDE SOLICITADA])</f>
        <v>15</v>
      </c>
      <c r="G14" s="31">
        <f>VLOOKUP(TBSuprimentos[[#This Row],[DESCRIÇÃO]],TBEstoque[[DESCRIÇÃO]:[CONSUMO MÉDIO MENSAL]],4,0)</f>
        <v>5</v>
      </c>
      <c r="H14" s="40" t="str">
        <f t="shared" si="0"/>
        <v>EXCESSO</v>
      </c>
      <c r="I14" s="20">
        <v>1</v>
      </c>
      <c r="J14" s="22" t="s">
        <v>14</v>
      </c>
      <c r="K14" s="31" t="str">
        <f t="shared" si="1"/>
        <v>---</v>
      </c>
      <c r="L14" s="24" t="str">
        <f>IF(OR(H14="COMPRA IMEDIATA", H14="RUPTURA"), IF(K14="---", 0, _xlfn.XLOOKUP(B14, TBEstoque[SKU], TBEstoque[VALOR UNIT. (R$)]) * VALUE(LEFT(K14, SEARCH(" ", K14)-1))), "---")</f>
        <v>---</v>
      </c>
      <c r="M14" s="18">
        <v>46097</v>
      </c>
      <c r="N14" s="19">
        <v>15</v>
      </c>
      <c r="O14" s="18" t="str">
        <f>IF(OR(H14="COMPRA IMEDIATA", H14="RUPTURA"), WORKDAY(M14,N14,Feriados!$A$3:$A$19),"---")</f>
        <v>---</v>
      </c>
      <c r="P14" s="31"/>
      <c r="Q14" s="20" t="str">
        <f>IFERROR(_xlfn.LET(_xlpm.f, _xlfn.XLOOKUP(D14, TBEstoque[DESCRIÇÃO], TBEstoque[FORNECEDOR], "---"), IF(_xlpm.f=0, "---", _xlpm.f)), "---")</f>
        <v>FORNECEDOR 10</v>
      </c>
    </row>
    <row r="15" spans="2:17">
      <c r="B15" s="17">
        <f>TBEstoque[[#This Row],[SKU]]</f>
        <v>20824</v>
      </c>
      <c r="C15" s="20" t="str">
        <f>IF(TBEstoque[[#This Row],[SKU]]=TBSuprimentos[[#This Row],[SKU]],TBEstoque[[#This Row],[CATEGÓRIA]]," ")</f>
        <v>Expedição</v>
      </c>
      <c r="D15" s="20" t="str">
        <f>IF(TBSuprimentos[[#This Row],[SKU]]=TBEstoque[[#This Row],[SKU]],TBEstoque[[#This Row],[DESCRIÇÃO]]," ")</f>
        <v>CAIXA PAPELÃO PARDA Nº00 (UNID)</v>
      </c>
      <c r="E15" s="20" t="str">
        <f>IF(TBSuprimentos[[#This Row],[SKU]]=TBEstoque[[#This Row],[SKU]],TBEstoque[[#This Row],[UNID. MEDIDA]]," ")</f>
        <v>Unid</v>
      </c>
      <c r="F15" s="31">
        <f>_xlfn.XLOOKUP(TBSuprimentos[[#This Row],[SKU]], TBEstoque[SKU], TBEstoque[ESTOQUE ATUAL], 0) - SUMIF(TBConsumo[SKU], TBSuprimentos[[#This Row],[SKU]], TBConsumo[QTDE SOLICITADA])</f>
        <v>20000</v>
      </c>
      <c r="G15" s="31">
        <f>VLOOKUP(TBSuprimentos[[#This Row],[DESCRIÇÃO]],TBEstoque[[DESCRIÇÃO]:[CONSUMO MÉDIO MENSAL]],4,0)</f>
        <v>10000</v>
      </c>
      <c r="H15" s="40" t="str">
        <f t="shared" si="0"/>
        <v>SAUDÁVEL</v>
      </c>
      <c r="I15" s="20">
        <v>30</v>
      </c>
      <c r="J15" s="22" t="s">
        <v>195</v>
      </c>
      <c r="K15" s="31" t="str">
        <f t="shared" si="1"/>
        <v>---</v>
      </c>
      <c r="L15" s="24" t="str">
        <f>IF(OR(H15="COMPRA IMEDIATA", H15="RUPTURA"), IF(K15="---", 0, _xlfn.XLOOKUP(B15, TBEstoque[SKU], TBEstoque[VALOR UNIT. (R$)]) * VALUE(LEFT(K15, SEARCH(" ", K15)-1))), "---")</f>
        <v>---</v>
      </c>
      <c r="M15" s="18">
        <v>46097</v>
      </c>
      <c r="N15" s="19">
        <v>30</v>
      </c>
      <c r="O15" s="18" t="str">
        <f>IF(OR(H15="COMPRA IMEDIATA", H15="RUPTURA"), WORKDAY(M15,N15,Feriados!$A$3:$A$19),"---")</f>
        <v>---</v>
      </c>
      <c r="P15" s="31"/>
      <c r="Q15" s="20" t="str">
        <f>IFERROR(_xlfn.LET(_xlpm.f, _xlfn.XLOOKUP(D15, TBEstoque[DESCRIÇÃO], TBEstoque[FORNECEDOR], "---"), IF(_xlpm.f=0, "---", _xlpm.f)), "---")</f>
        <v>FORNECEDOR 11</v>
      </c>
    </row>
    <row r="16" spans="2:17">
      <c r="B16" s="17">
        <f>TBEstoque[[#This Row],[SKU]]</f>
        <v>20825</v>
      </c>
      <c r="C16" s="20" t="str">
        <f>IF(TBEstoque[[#This Row],[SKU]]=TBSuprimentos[[#This Row],[SKU]],TBEstoque[[#This Row],[CATEGÓRIA]]," ")</f>
        <v>Expedição</v>
      </c>
      <c r="D16" s="20" t="str">
        <f>IF(TBSuprimentos[[#This Row],[SKU]]=TBEstoque[[#This Row],[SKU]],TBEstoque[[#This Row],[DESCRIÇÃO]]," ")</f>
        <v>CAIXA PAPELÃO PARDA Nº01 (UNID)</v>
      </c>
      <c r="E16" s="20" t="str">
        <f>IF(TBSuprimentos[[#This Row],[SKU]]=TBEstoque[[#This Row],[SKU]],TBEstoque[[#This Row],[UNID. MEDIDA]]," ")</f>
        <v>Unid</v>
      </c>
      <c r="F16" s="31">
        <f>_xlfn.XLOOKUP(TBSuprimentos[[#This Row],[SKU]], TBEstoque[SKU], TBEstoque[ESTOQUE ATUAL], 0) - SUMIF(TBConsumo[SKU], TBSuprimentos[[#This Row],[SKU]], TBConsumo[QTDE SOLICITADA])</f>
        <v>15600</v>
      </c>
      <c r="G16" s="31">
        <f>VLOOKUP(TBSuprimentos[[#This Row],[DESCRIÇÃO]],TBEstoque[[DESCRIÇÃO]:[CONSUMO MÉDIO MENSAL]],4,0)</f>
        <v>8000</v>
      </c>
      <c r="H16" s="40" t="str">
        <f t="shared" si="0"/>
        <v>SAUDÁVEL</v>
      </c>
      <c r="I16" s="20">
        <v>25</v>
      </c>
      <c r="J16" s="22" t="s">
        <v>195</v>
      </c>
      <c r="K16" s="31" t="str">
        <f t="shared" si="1"/>
        <v>---</v>
      </c>
      <c r="L16" s="24" t="str">
        <f>IF(OR(H16="COMPRA IMEDIATA", H16="RUPTURA"), IF(K16="---", 0, _xlfn.XLOOKUP(B16, TBEstoque[SKU], TBEstoque[VALOR UNIT. (R$)]) * VALUE(LEFT(K16, SEARCH(" ", K16)-1))), "---")</f>
        <v>---</v>
      </c>
      <c r="M16" s="18">
        <v>46097</v>
      </c>
      <c r="N16" s="19">
        <v>30</v>
      </c>
      <c r="O16" s="18" t="str">
        <f>IF(OR(H16="COMPRA IMEDIATA", H16="RUPTURA"), WORKDAY(M16,N16,Feriados!$A$3:$A$19),"---")</f>
        <v>---</v>
      </c>
      <c r="P16" s="31"/>
      <c r="Q16" s="20" t="str">
        <f>IFERROR(_xlfn.LET(_xlpm.f, _xlfn.XLOOKUP(D16, TBEstoque[DESCRIÇÃO], TBEstoque[FORNECEDOR], "---"), IF(_xlpm.f=0, "---", _xlpm.f)), "---")</f>
        <v>FORNECEDOR 12</v>
      </c>
    </row>
    <row r="17" spans="2:17">
      <c r="B17" s="17">
        <f>TBEstoque[[#This Row],[SKU]]</f>
        <v>20826</v>
      </c>
      <c r="C17" s="20" t="str">
        <f>IF(TBEstoque[[#This Row],[SKU]]=TBSuprimentos[[#This Row],[SKU]],TBEstoque[[#This Row],[CATEGÓRIA]]," ")</f>
        <v>Expedição</v>
      </c>
      <c r="D17" s="20" t="str">
        <f>IF(TBSuprimentos[[#This Row],[SKU]]=TBEstoque[[#This Row],[SKU]],TBEstoque[[#This Row],[DESCRIÇÃO]]," ")</f>
        <v>CAIXA PAPELÃO PARDA Nº02 (UNID)</v>
      </c>
      <c r="E17" s="20" t="str">
        <f>IF(TBSuprimentos[[#This Row],[SKU]]=TBEstoque[[#This Row],[SKU]],TBEstoque[[#This Row],[UNID. MEDIDA]]," ")</f>
        <v>Unid</v>
      </c>
      <c r="F17" s="31">
        <f>_xlfn.XLOOKUP(TBSuprimentos[[#This Row],[SKU]], TBEstoque[SKU], TBEstoque[ESTOQUE ATUAL], 0) - SUMIF(TBConsumo[SKU], TBSuprimentos[[#This Row],[SKU]], TBConsumo[QTDE SOLICITADA])</f>
        <v>13875</v>
      </c>
      <c r="G17" s="31">
        <f>VLOOKUP(TBSuprimentos[[#This Row],[DESCRIÇÃO]],TBEstoque[[DESCRIÇÃO]:[CONSUMO MÉDIO MENSAL]],4,0)</f>
        <v>6000</v>
      </c>
      <c r="H17" s="40" t="str">
        <f t="shared" si="0"/>
        <v>EXCESSO</v>
      </c>
      <c r="I17" s="20">
        <v>20</v>
      </c>
      <c r="J17" s="22" t="s">
        <v>195</v>
      </c>
      <c r="K17" s="31" t="str">
        <f t="shared" si="1"/>
        <v>---</v>
      </c>
      <c r="L17" s="24" t="str">
        <f>IF(OR(H17="COMPRA IMEDIATA", H17="RUPTURA"), IF(K17="---", 0, _xlfn.XLOOKUP(B17, TBEstoque[SKU], TBEstoque[VALOR UNIT. (R$)]) * VALUE(LEFT(K17, SEARCH(" ", K17)-1))), "---")</f>
        <v>---</v>
      </c>
      <c r="M17" s="18">
        <v>46097</v>
      </c>
      <c r="N17" s="19">
        <v>30</v>
      </c>
      <c r="O17" s="18" t="str">
        <f>IF(OR(H17="COMPRA IMEDIATA", H17="RUPTURA"), WORKDAY(M17,N17,Feriados!$A$3:$A$19),"---")</f>
        <v>---</v>
      </c>
      <c r="P17" s="31"/>
      <c r="Q17" s="20" t="str">
        <f>IFERROR(_xlfn.LET(_xlpm.f, _xlfn.XLOOKUP(D17, TBEstoque[DESCRIÇÃO], TBEstoque[FORNECEDOR], "---"), IF(_xlpm.f=0, "---", _xlpm.f)), "---")</f>
        <v>FORNECEDOR 13</v>
      </c>
    </row>
    <row r="18" spans="2:17">
      <c r="B18" s="17">
        <f>TBEstoque[[#This Row],[SKU]]</f>
        <v>20827</v>
      </c>
      <c r="C18" s="20" t="str">
        <f>IF(TBEstoque[[#This Row],[SKU]]=TBSuprimentos[[#This Row],[SKU]],TBEstoque[[#This Row],[CATEGÓRIA]]," ")</f>
        <v>Expedição</v>
      </c>
      <c r="D18" s="20" t="str">
        <f>IF(TBSuprimentos[[#This Row],[SKU]]=TBEstoque[[#This Row],[SKU]],TBEstoque[[#This Row],[DESCRIÇÃO]]," ")</f>
        <v>CAIXA PAPELÃO PARDA Nº03 (UNID)</v>
      </c>
      <c r="E18" s="20" t="str">
        <f>IF(TBSuprimentos[[#This Row],[SKU]]=TBEstoque[[#This Row],[SKU]],TBEstoque[[#This Row],[UNID. MEDIDA]]," ")</f>
        <v>Unid</v>
      </c>
      <c r="F18" s="31">
        <f>_xlfn.XLOOKUP(TBSuprimentos[[#This Row],[SKU]], TBEstoque[SKU], TBEstoque[ESTOQUE ATUAL], 0) - SUMIF(TBConsumo[SKU], TBSuprimentos[[#This Row],[SKU]], TBConsumo[QTDE SOLICITADA])</f>
        <v>13990</v>
      </c>
      <c r="G18" s="31">
        <f>VLOOKUP(TBSuprimentos[[#This Row],[DESCRIÇÃO]],TBEstoque[[DESCRIÇÃO]:[CONSUMO MÉDIO MENSAL]],4,0)</f>
        <v>4000</v>
      </c>
      <c r="H18" s="40" t="str">
        <f t="shared" si="0"/>
        <v>EXCESSO</v>
      </c>
      <c r="I18" s="20">
        <v>10</v>
      </c>
      <c r="J18" s="22" t="s">
        <v>195</v>
      </c>
      <c r="K18" s="31" t="str">
        <f t="shared" si="1"/>
        <v>---</v>
      </c>
      <c r="L18" s="24" t="str">
        <f>IF(OR(H18="COMPRA IMEDIATA", H18="RUPTURA"), IF(K18="---", 0, _xlfn.XLOOKUP(B18, TBEstoque[SKU], TBEstoque[VALOR UNIT. (R$)]) * VALUE(LEFT(K18, SEARCH(" ", K18)-1))), "---")</f>
        <v>---</v>
      </c>
      <c r="M18" s="18">
        <v>46097</v>
      </c>
      <c r="N18" s="19">
        <v>30</v>
      </c>
      <c r="O18" s="18" t="str">
        <f>IF(OR(H18="COMPRA IMEDIATA", H18="RUPTURA"), WORKDAY(M18,N18,Feriados!$A$3:$A$19),"---")</f>
        <v>---</v>
      </c>
      <c r="P18" s="31"/>
      <c r="Q18" s="20" t="str">
        <f>IFERROR(_xlfn.LET(_xlpm.f, _xlfn.XLOOKUP(D18, TBEstoque[DESCRIÇÃO], TBEstoque[FORNECEDOR], "---"), IF(_xlpm.f=0, "---", _xlpm.f)), "---")</f>
        <v>FORNECEDOR 14</v>
      </c>
    </row>
    <row r="19" spans="2:17">
      <c r="B19" s="17">
        <f>TBEstoque[[#This Row],[SKU]]</f>
        <v>20828</v>
      </c>
      <c r="C19" s="20" t="str">
        <f>IF(TBEstoque[[#This Row],[SKU]]=TBSuprimentos[[#This Row],[SKU]],TBEstoque[[#This Row],[CATEGÓRIA]]," ")</f>
        <v>Expedição</v>
      </c>
      <c r="D19" s="20" t="str">
        <f>IF(TBSuprimentos[[#This Row],[SKU]]=TBEstoque[[#This Row],[SKU]],TBEstoque[[#This Row],[DESCRIÇÃO]]," ")</f>
        <v>CAIXA PAPELÃO PARDA Nº04 (UNID)</v>
      </c>
      <c r="E19" s="20" t="str">
        <f>IF(TBSuprimentos[[#This Row],[SKU]]=TBEstoque[[#This Row],[SKU]],TBEstoque[[#This Row],[UNID. MEDIDA]]," ")</f>
        <v>Unid</v>
      </c>
      <c r="F19" s="31">
        <f>_xlfn.XLOOKUP(TBSuprimentos[[#This Row],[SKU]], TBEstoque[SKU], TBEstoque[ESTOQUE ATUAL], 0) - SUMIF(TBConsumo[SKU], TBSuprimentos[[#This Row],[SKU]], TBConsumo[QTDE SOLICITADA])</f>
        <v>12000</v>
      </c>
      <c r="G19" s="31">
        <f>VLOOKUP(TBSuprimentos[[#This Row],[DESCRIÇÃO]],TBEstoque[[DESCRIÇÃO]:[CONSUMO MÉDIO MENSAL]],4,0)</f>
        <v>2000</v>
      </c>
      <c r="H19" s="40" t="str">
        <f t="shared" si="0"/>
        <v>EXCESSO</v>
      </c>
      <c r="I19" s="20">
        <v>10</v>
      </c>
      <c r="J19" s="22" t="s">
        <v>195</v>
      </c>
      <c r="K19" s="31" t="str">
        <f t="shared" si="1"/>
        <v>---</v>
      </c>
      <c r="L19" s="24" t="str">
        <f>IF(OR(H19="COMPRA IMEDIATA", H19="RUPTURA"), IF(K19="---", 0, _xlfn.XLOOKUP(B19, TBEstoque[SKU], TBEstoque[VALOR UNIT. (R$)]) * VALUE(LEFT(K19, SEARCH(" ", K19)-1))), "---")</f>
        <v>---</v>
      </c>
      <c r="M19" s="18">
        <v>46097</v>
      </c>
      <c r="N19" s="19">
        <v>30</v>
      </c>
      <c r="O19" s="18" t="str">
        <f>IF(OR(H19="COMPRA IMEDIATA", H19="RUPTURA"), WORKDAY(M19,N19,Feriados!$A$3:$A$19),"---")</f>
        <v>---</v>
      </c>
      <c r="P19" s="31"/>
      <c r="Q19" s="20" t="str">
        <f>IFERROR(_xlfn.LET(_xlpm.f, _xlfn.XLOOKUP(D19, TBEstoque[DESCRIÇÃO], TBEstoque[FORNECEDOR], "---"), IF(_xlpm.f=0, "---", _xlpm.f)), "---")</f>
        <v>FORNECEDOR 15</v>
      </c>
    </row>
    <row r="20" spans="2:17">
      <c r="B20" s="17">
        <f>TBEstoque[[#This Row],[SKU]]</f>
        <v>20910</v>
      </c>
      <c r="C20" s="20" t="str">
        <f>IF(TBEstoque[[#This Row],[SKU]]=TBSuprimentos[[#This Row],[SKU]],TBEstoque[[#This Row],[CATEGÓRIA]]," ")</f>
        <v>Expedição</v>
      </c>
      <c r="D20" s="20" t="str">
        <f>IF(TBSuprimentos[[#This Row],[SKU]]=TBEstoque[[#This Row],[SKU]],TBEstoque[[#This Row],[DESCRIÇÃO]]," ")</f>
        <v>CAIXA PAPELÃO PARDA Nº05 (UNID)</v>
      </c>
      <c r="E20" s="20" t="str">
        <f>IF(TBSuprimentos[[#This Row],[SKU]]=TBEstoque[[#This Row],[SKU]],TBEstoque[[#This Row],[UNID. MEDIDA]]," ")</f>
        <v>Unid</v>
      </c>
      <c r="F20" s="31">
        <f>_xlfn.XLOOKUP(TBSuprimentos[[#This Row],[SKU]], TBEstoque[SKU], TBEstoque[ESTOQUE ATUAL], 0) - SUMIF(TBConsumo[SKU], TBSuprimentos[[#This Row],[SKU]], TBConsumo[QTDE SOLICITADA])</f>
        <v>9900</v>
      </c>
      <c r="G20" s="31">
        <f>VLOOKUP(TBSuprimentos[[#This Row],[DESCRIÇÃO]],TBEstoque[[DESCRIÇÃO]:[CONSUMO MÉDIO MENSAL]],4,0)</f>
        <v>1000</v>
      </c>
      <c r="H20" s="40" t="str">
        <f t="shared" si="0"/>
        <v>EXCESSO</v>
      </c>
      <c r="I20" s="20">
        <v>5</v>
      </c>
      <c r="J20" s="22" t="s">
        <v>195</v>
      </c>
      <c r="K20" s="31" t="str">
        <f t="shared" si="1"/>
        <v>---</v>
      </c>
      <c r="L20" s="24" t="str">
        <f>IF(OR(H20="COMPRA IMEDIATA", H20="RUPTURA"), IF(K20="---", 0, _xlfn.XLOOKUP(B20, TBEstoque[SKU], TBEstoque[VALOR UNIT. (R$)]) * VALUE(LEFT(K20, SEARCH(" ", K20)-1))), "---")</f>
        <v>---</v>
      </c>
      <c r="M20" s="18">
        <v>46097</v>
      </c>
      <c r="N20" s="19">
        <v>30</v>
      </c>
      <c r="O20" s="18" t="str">
        <f>IF(OR(H20="COMPRA IMEDIATA", H20="RUPTURA"), WORKDAY(M20,N20,Feriados!$A$3:$A$19),"---")</f>
        <v>---</v>
      </c>
      <c r="P20" s="31"/>
      <c r="Q20" s="20" t="str">
        <f>IFERROR(_xlfn.LET(_xlpm.f, _xlfn.XLOOKUP(D20, TBEstoque[DESCRIÇÃO], TBEstoque[FORNECEDOR], "---"), IF(_xlpm.f=0, "---", _xlpm.f)), "---")</f>
        <v>FORNECEDOR 16</v>
      </c>
    </row>
    <row r="21" spans="2:17">
      <c r="B21" s="17">
        <f>TBEstoque[[#This Row],[SKU]]</f>
        <v>20829</v>
      </c>
      <c r="C21" s="20" t="str">
        <f>IF(TBEstoque[[#This Row],[SKU]]=TBSuprimentos[[#This Row],[SKU]],TBEstoque[[#This Row],[CATEGÓRIA]]," ")</f>
        <v>Expedição</v>
      </c>
      <c r="D21" s="20" t="str">
        <f>IF(TBSuprimentos[[#This Row],[SKU]]=TBEstoque[[#This Row],[SKU]],TBEstoque[[#This Row],[DESCRIÇÃO]]," ")</f>
        <v>CAIXA TERMICA 3L (UNID)</v>
      </c>
      <c r="E21" s="20" t="str">
        <f>IF(TBSuprimentos[[#This Row],[SKU]]=TBEstoque[[#This Row],[SKU]],TBEstoque[[#This Row],[UNID. MEDIDA]]," ")</f>
        <v>Unid</v>
      </c>
      <c r="F21" s="31">
        <f>_xlfn.XLOOKUP(TBSuprimentos[[#This Row],[SKU]], TBEstoque[SKU], TBEstoque[ESTOQUE ATUAL], 0) - SUMIF(TBConsumo[SKU], TBSuprimentos[[#This Row],[SKU]], TBConsumo[QTDE SOLICITADA])</f>
        <v>904</v>
      </c>
      <c r="G21" s="31">
        <f>VLOOKUP(TBSuprimentos[[#This Row],[DESCRIÇÃO]],TBEstoque[[DESCRIÇÃO]:[CONSUMO MÉDIO MENSAL]],4,0)</f>
        <v>500</v>
      </c>
      <c r="H21" s="40" t="str">
        <f t="shared" si="0"/>
        <v>SAUDÁVEL</v>
      </c>
      <c r="I21" s="20">
        <v>48</v>
      </c>
      <c r="J21" s="22" t="s">
        <v>195</v>
      </c>
      <c r="K21" s="31" t="str">
        <f t="shared" si="1"/>
        <v>---</v>
      </c>
      <c r="L21" s="24" t="str">
        <f>IF(OR(H21="COMPRA IMEDIATA", H21="RUPTURA"), IF(K21="---", 0, _xlfn.XLOOKUP(B21, TBEstoque[SKU], TBEstoque[VALOR UNIT. (R$)]) * VALUE(LEFT(K21, SEARCH(" ", K21)-1))), "---")</f>
        <v>---</v>
      </c>
      <c r="M21" s="18">
        <v>46097</v>
      </c>
      <c r="N21" s="19">
        <v>15</v>
      </c>
      <c r="O21" s="18" t="str">
        <f>IF(OR(H21="COMPRA IMEDIATA", H21="RUPTURA"), WORKDAY(M21,N21,Feriados!$A$3:$A$19),"---")</f>
        <v>---</v>
      </c>
      <c r="P21" s="31"/>
      <c r="Q21" s="20" t="str">
        <f>IFERROR(_xlfn.LET(_xlpm.f, _xlfn.XLOOKUP(D21, TBEstoque[DESCRIÇÃO], TBEstoque[FORNECEDOR], "---"), IF(_xlpm.f=0, "---", _xlpm.f)), "---")</f>
        <v>FORNECEDOR 17</v>
      </c>
    </row>
    <row r="22" spans="2:17">
      <c r="B22" s="17">
        <f>TBEstoque[[#This Row],[SKU]]</f>
        <v>20830</v>
      </c>
      <c r="C22" s="20" t="str">
        <f>IF(TBEstoque[[#This Row],[SKU]]=TBSuprimentos[[#This Row],[SKU]],TBEstoque[[#This Row],[CATEGÓRIA]]," ")</f>
        <v>Expedição</v>
      </c>
      <c r="D22" s="20" t="str">
        <f>IF(TBSuprimentos[[#This Row],[SKU]]=TBEstoque[[#This Row],[SKU]],TBEstoque[[#This Row],[DESCRIÇÃO]]," ")</f>
        <v>CAIXA TERMICA 5L (UNID)</v>
      </c>
      <c r="E22" s="20" t="str">
        <f>IF(TBSuprimentos[[#This Row],[SKU]]=TBEstoque[[#This Row],[SKU]],TBEstoque[[#This Row],[UNID. MEDIDA]]," ")</f>
        <v>Unid</v>
      </c>
      <c r="F22" s="31">
        <f>_xlfn.XLOOKUP(TBSuprimentos[[#This Row],[SKU]], TBEstoque[SKU], TBEstoque[ESTOQUE ATUAL], 0) - SUMIF(TBConsumo[SKU], TBSuprimentos[[#This Row],[SKU]], TBConsumo[QTDE SOLICITADA])</f>
        <v>702</v>
      </c>
      <c r="G22" s="31">
        <f>VLOOKUP(TBSuprimentos[[#This Row],[DESCRIÇÃO]],TBEstoque[[DESCRIÇÃO]:[CONSUMO MÉDIO MENSAL]],4,0)</f>
        <v>250</v>
      </c>
      <c r="H22" s="40" t="str">
        <f t="shared" si="0"/>
        <v>EXCESSO</v>
      </c>
      <c r="I22" s="20">
        <v>24</v>
      </c>
      <c r="J22" s="22" t="s">
        <v>195</v>
      </c>
      <c r="K22" s="31" t="str">
        <f t="shared" si="1"/>
        <v>---</v>
      </c>
      <c r="L22" s="24" t="str">
        <f>IF(OR(H22="COMPRA IMEDIATA", H22="RUPTURA"), IF(K22="---", 0, _xlfn.XLOOKUP(B22, TBEstoque[SKU], TBEstoque[VALOR UNIT. (R$)]) * VALUE(LEFT(K22, SEARCH(" ", K22)-1))), "---")</f>
        <v>---</v>
      </c>
      <c r="M22" s="18">
        <v>46097</v>
      </c>
      <c r="N22" s="19">
        <v>15</v>
      </c>
      <c r="O22" s="18" t="str">
        <f>IF(OR(H22="COMPRA IMEDIATA", H22="RUPTURA"), WORKDAY(M22,N22,Feriados!$A$3:$A$19),"---")</f>
        <v>---</v>
      </c>
      <c r="P22" s="31"/>
      <c r="Q22" s="20" t="str">
        <f>IFERROR(_xlfn.LET(_xlpm.f, _xlfn.XLOOKUP(D22, TBEstoque[DESCRIÇÃO], TBEstoque[FORNECEDOR], "---"), IF(_xlpm.f=0, "---", _xlpm.f)), "---")</f>
        <v>FORNECEDOR 18</v>
      </c>
    </row>
    <row r="23" spans="2:17">
      <c r="B23" s="17">
        <f>TBEstoque[[#This Row],[SKU]]</f>
        <v>20831</v>
      </c>
      <c r="C23" s="20" t="str">
        <f>IF(TBEstoque[[#This Row],[SKU]]=TBSuprimentos[[#This Row],[SKU]],TBEstoque[[#This Row],[CATEGÓRIA]]," ")</f>
        <v>Expedição</v>
      </c>
      <c r="D23" s="20" t="str">
        <f>IF(TBSuprimentos[[#This Row],[SKU]]=TBEstoque[[#This Row],[SKU]],TBEstoque[[#This Row],[DESCRIÇÃO]]," ")</f>
        <v>CAIXA TERMICA 7L (UNID)</v>
      </c>
      <c r="E23" s="20" t="str">
        <f>IF(TBSuprimentos[[#This Row],[SKU]]=TBEstoque[[#This Row],[SKU]],TBEstoque[[#This Row],[UNID. MEDIDA]]," ")</f>
        <v>Unid</v>
      </c>
      <c r="F23" s="31">
        <f>_xlfn.XLOOKUP(TBSuprimentos[[#This Row],[SKU]], TBEstoque[SKU], TBEstoque[ESTOQUE ATUAL], 0) - SUMIF(TBConsumo[SKU], TBSuprimentos[[#This Row],[SKU]], TBConsumo[QTDE SOLICITADA])</f>
        <v>250</v>
      </c>
      <c r="G23" s="31">
        <f>VLOOKUP(TBSuprimentos[[#This Row],[DESCRIÇÃO]],TBEstoque[[DESCRIÇÃO]:[CONSUMO MÉDIO MENSAL]],4,0)</f>
        <v>50</v>
      </c>
      <c r="H23" s="40" t="str">
        <f t="shared" si="0"/>
        <v>EXCESSO</v>
      </c>
      <c r="I23" s="20">
        <v>10</v>
      </c>
      <c r="J23" s="22" t="s">
        <v>195</v>
      </c>
      <c r="K23" s="31" t="str">
        <f t="shared" si="1"/>
        <v>---</v>
      </c>
      <c r="L23" s="24" t="str">
        <f>IF(OR(H23="COMPRA IMEDIATA", H23="RUPTURA"), IF(K23="---", 0, _xlfn.XLOOKUP(B23, TBEstoque[SKU], TBEstoque[VALOR UNIT. (R$)]) * VALUE(LEFT(K23, SEARCH(" ", K23)-1))), "---")</f>
        <v>---</v>
      </c>
      <c r="M23" s="18">
        <v>46097</v>
      </c>
      <c r="N23" s="19">
        <v>15</v>
      </c>
      <c r="O23" s="18" t="str">
        <f>IF(OR(H23="COMPRA IMEDIATA", H23="RUPTURA"), WORKDAY(M23,N23,Feriados!$A$3:$A$19),"---")</f>
        <v>---</v>
      </c>
      <c r="P23" s="31"/>
      <c r="Q23" s="20" t="str">
        <f>IFERROR(_xlfn.LET(_xlpm.f, _xlfn.XLOOKUP(D23, TBEstoque[DESCRIÇÃO], TBEstoque[FORNECEDOR], "---"), IF(_xlpm.f=0, "---", _xlpm.f)), "---")</f>
        <v>FORNECEDOR 19</v>
      </c>
    </row>
    <row r="24" spans="2:17">
      <c r="B24" s="17">
        <f>TBEstoque[[#This Row],[SKU]]</f>
        <v>20832</v>
      </c>
      <c r="C24" s="20" t="str">
        <f>IF(TBEstoque[[#This Row],[SKU]]=TBSuprimentos[[#This Row],[SKU]],TBEstoque[[#This Row],[CATEGÓRIA]]," ")</f>
        <v>Expedição</v>
      </c>
      <c r="D24" s="20" t="str">
        <f>IF(TBSuprimentos[[#This Row],[SKU]]=TBEstoque[[#This Row],[SKU]],TBEstoque[[#This Row],[DESCRIÇÃO]]," ")</f>
        <v>ENVELOPE COM BOLHA M (UNID)</v>
      </c>
      <c r="E24" s="20" t="str">
        <f>IF(TBSuprimentos[[#This Row],[SKU]]=TBEstoque[[#This Row],[SKU]],TBEstoque[[#This Row],[UNID. MEDIDA]]," ")</f>
        <v>Unid</v>
      </c>
      <c r="F24" s="31">
        <f>_xlfn.XLOOKUP(TBSuprimentos[[#This Row],[SKU]], TBEstoque[SKU], TBEstoque[ESTOQUE ATUAL], 0) - SUMIF(TBConsumo[SKU], TBSuprimentos[[#This Row],[SKU]], TBConsumo[QTDE SOLICITADA])</f>
        <v>19725</v>
      </c>
      <c r="G24" s="31">
        <f>VLOOKUP(TBSuprimentos[[#This Row],[DESCRIÇÃO]],TBEstoque[[DESCRIÇÃO]:[CONSUMO MÉDIO MENSAL]],4,0)</f>
        <v>5000</v>
      </c>
      <c r="H24" s="40" t="str">
        <f t="shared" si="0"/>
        <v>EXCESSO</v>
      </c>
      <c r="I24" s="20">
        <v>25</v>
      </c>
      <c r="J24" s="22" t="s">
        <v>195</v>
      </c>
      <c r="K24" s="31" t="str">
        <f t="shared" si="1"/>
        <v>---</v>
      </c>
      <c r="L24" s="24" t="str">
        <f>IF(OR(H24="COMPRA IMEDIATA", H24="RUPTURA"), IF(K24="---", 0, _xlfn.XLOOKUP(B24, TBEstoque[SKU], TBEstoque[VALOR UNIT. (R$)]) * VALUE(LEFT(K24, SEARCH(" ", K24)-1))), "---")</f>
        <v>---</v>
      </c>
      <c r="M24" s="18">
        <v>46097</v>
      </c>
      <c r="N24" s="19">
        <v>45</v>
      </c>
      <c r="O24" s="18" t="str">
        <f>IF(OR(H24="COMPRA IMEDIATA", H24="RUPTURA"), WORKDAY(M24,N24,Feriados!$A$3:$A$19),"---")</f>
        <v>---</v>
      </c>
      <c r="P24" s="31"/>
      <c r="Q24" s="20" t="str">
        <f>IFERROR(_xlfn.LET(_xlpm.f, _xlfn.XLOOKUP(D24, TBEstoque[DESCRIÇÃO], TBEstoque[FORNECEDOR], "---"), IF(_xlpm.f=0, "---", _xlpm.f)), "---")</f>
        <v>FORNECEDOR 20</v>
      </c>
    </row>
    <row r="25" spans="2:17">
      <c r="B25" s="17">
        <f>TBEstoque[[#This Row],[SKU]]</f>
        <v>20833</v>
      </c>
      <c r="C25" s="20" t="str">
        <f>IF(TBEstoque[[#This Row],[SKU]]=TBSuprimentos[[#This Row],[SKU]],TBEstoque[[#This Row],[CATEGÓRIA]]," ")</f>
        <v>Expedição</v>
      </c>
      <c r="D25" s="20" t="str">
        <f>IF(TBSuprimentos[[#This Row],[SKU]]=TBEstoque[[#This Row],[SKU]],TBEstoque[[#This Row],[DESCRIÇÃO]]," ")</f>
        <v>ENVELOPE COM BOLHA P (UNID)</v>
      </c>
      <c r="E25" s="20" t="str">
        <f>IF(TBSuprimentos[[#This Row],[SKU]]=TBEstoque[[#This Row],[SKU]],TBEstoque[[#This Row],[UNID. MEDIDA]]," ")</f>
        <v>Unid</v>
      </c>
      <c r="F25" s="31">
        <f>_xlfn.XLOOKUP(TBSuprimentos[[#This Row],[SKU]], TBEstoque[SKU], TBEstoque[ESTOQUE ATUAL], 0) - SUMIF(TBConsumo[SKU], TBSuprimentos[[#This Row],[SKU]], TBConsumo[QTDE SOLICITADA])</f>
        <v>29175</v>
      </c>
      <c r="G25" s="31">
        <f>VLOOKUP(TBSuprimentos[[#This Row],[DESCRIÇÃO]],TBEstoque[[DESCRIÇÃO]:[CONSUMO MÉDIO MENSAL]],4,0)</f>
        <v>10000</v>
      </c>
      <c r="H25" s="40" t="str">
        <f t="shared" si="0"/>
        <v>EXCESSO</v>
      </c>
      <c r="I25" s="20">
        <v>25</v>
      </c>
      <c r="J25" s="22" t="s">
        <v>195</v>
      </c>
      <c r="K25" s="31" t="str">
        <f t="shared" si="1"/>
        <v>---</v>
      </c>
      <c r="L25" s="24" t="str">
        <f>IF(OR(H25="COMPRA IMEDIATA", H25="RUPTURA"), IF(K25="---", 0, _xlfn.XLOOKUP(B25, TBEstoque[SKU], TBEstoque[VALOR UNIT. (R$)]) * VALUE(LEFT(K25, SEARCH(" ", K25)-1))), "---")</f>
        <v>---</v>
      </c>
      <c r="M25" s="18">
        <v>46097</v>
      </c>
      <c r="N25" s="19">
        <v>45</v>
      </c>
      <c r="O25" s="18" t="str">
        <f>IF(OR(H25="COMPRA IMEDIATA", H25="RUPTURA"), WORKDAY(M25,N25,Feriados!$A$3:$A$19),"---")</f>
        <v>---</v>
      </c>
      <c r="P25" s="31"/>
      <c r="Q25" s="20" t="str">
        <f>IFERROR(_xlfn.LET(_xlpm.f, _xlfn.XLOOKUP(D25, TBEstoque[DESCRIÇÃO], TBEstoque[FORNECEDOR], "---"), IF(_xlpm.f=0, "---", _xlpm.f)), "---")</f>
        <v>FORNECEDOR 21</v>
      </c>
    </row>
    <row r="26" spans="2:17">
      <c r="B26" s="17">
        <f>TBEstoque[[#This Row],[SKU]]</f>
        <v>20834</v>
      </c>
      <c r="C26" s="20" t="str">
        <f>IF(TBEstoque[[#This Row],[SKU]]=TBSuprimentos[[#This Row],[SKU]],TBEstoque[[#This Row],[CATEGÓRIA]]," ")</f>
        <v>Expedição</v>
      </c>
      <c r="D26" s="20" t="str">
        <f>IF(TBSuprimentos[[#This Row],[SKU]]=TBEstoque[[#This Row],[SKU]],TBEstoque[[#This Row],[DESCRIÇÃO]]," ")</f>
        <v>ENVELOPE SEM BOLHA M (UNID)</v>
      </c>
      <c r="E26" s="20" t="str">
        <f>IF(TBSuprimentos[[#This Row],[SKU]]=TBEstoque[[#This Row],[SKU]],TBEstoque[[#This Row],[UNID. MEDIDA]]," ")</f>
        <v>Unid</v>
      </c>
      <c r="F26" s="31">
        <f>_xlfn.XLOOKUP(TBSuprimentos[[#This Row],[SKU]], TBEstoque[SKU], TBEstoque[ESTOQUE ATUAL], 0) - SUMIF(TBConsumo[SKU], TBSuprimentos[[#This Row],[SKU]], TBConsumo[QTDE SOLICITADA])</f>
        <v>25000</v>
      </c>
      <c r="G26" s="31">
        <f>VLOOKUP(TBSuprimentos[[#This Row],[DESCRIÇÃO]],TBEstoque[[DESCRIÇÃO]:[CONSUMO MÉDIO MENSAL]],4,0)</f>
        <v>7500</v>
      </c>
      <c r="H26" s="40" t="str">
        <f t="shared" si="0"/>
        <v>EXCESSO</v>
      </c>
      <c r="I26" s="20">
        <v>1000</v>
      </c>
      <c r="J26" s="22" t="s">
        <v>195</v>
      </c>
      <c r="K26" s="31" t="str">
        <f t="shared" si="1"/>
        <v>---</v>
      </c>
      <c r="L26" s="24" t="str">
        <f>IF(OR(H26="COMPRA IMEDIATA", H26="RUPTURA"), IF(K26="---", 0, _xlfn.XLOOKUP(B26, TBEstoque[SKU], TBEstoque[VALOR UNIT. (R$)]) * VALUE(LEFT(K26, SEARCH(" ", K26)-1))), "---")</f>
        <v>---</v>
      </c>
      <c r="M26" s="18">
        <v>46097</v>
      </c>
      <c r="N26" s="19">
        <v>45</v>
      </c>
      <c r="O26" s="18" t="str">
        <f>IF(OR(H26="COMPRA IMEDIATA", H26="RUPTURA"), WORKDAY(M26,N26,Feriados!$A$3:$A$19),"---")</f>
        <v>---</v>
      </c>
      <c r="P26" s="31"/>
      <c r="Q26" s="20" t="str">
        <f>IFERROR(_xlfn.LET(_xlpm.f, _xlfn.XLOOKUP(D26, TBEstoque[DESCRIÇÃO], TBEstoque[FORNECEDOR], "---"), IF(_xlpm.f=0, "---", _xlpm.f)), "---")</f>
        <v>FORNECEDOR 22</v>
      </c>
    </row>
    <row r="27" spans="2:17">
      <c r="B27" s="17">
        <f>TBEstoque[[#This Row],[SKU]]</f>
        <v>20835</v>
      </c>
      <c r="C27" s="20" t="str">
        <f>IF(TBEstoque[[#This Row],[SKU]]=TBSuprimentos[[#This Row],[SKU]],TBEstoque[[#This Row],[CATEGÓRIA]]," ")</f>
        <v>Expedição</v>
      </c>
      <c r="D27" s="20" t="str">
        <f>IF(TBSuprimentos[[#This Row],[SKU]]=TBEstoque[[#This Row],[SKU]],TBEstoque[[#This Row],[DESCRIÇÃO]]," ")</f>
        <v>ENVELOPE SEM BOLHA P (UNID)</v>
      </c>
      <c r="E27" s="20" t="str">
        <f>IF(TBSuprimentos[[#This Row],[SKU]]=TBEstoque[[#This Row],[SKU]],TBEstoque[[#This Row],[UNID. MEDIDA]]," ")</f>
        <v>Unid</v>
      </c>
      <c r="F27" s="31">
        <f>_xlfn.XLOOKUP(TBSuprimentos[[#This Row],[SKU]], TBEstoque[SKU], TBEstoque[ESTOQUE ATUAL], 0) - SUMIF(TBConsumo[SKU], TBSuprimentos[[#This Row],[SKU]], TBConsumo[QTDE SOLICITADA])</f>
        <v>10000</v>
      </c>
      <c r="G27" s="31">
        <f>VLOOKUP(TBSuprimentos[[#This Row],[DESCRIÇÃO]],TBEstoque[[DESCRIÇÃO]:[CONSUMO MÉDIO MENSAL]],4,0)</f>
        <v>10000</v>
      </c>
      <c r="H27" s="40" t="str">
        <f t="shared" si="0"/>
        <v>SAUDÁVEL</v>
      </c>
      <c r="I27" s="20">
        <v>1000</v>
      </c>
      <c r="J27" s="22" t="s">
        <v>195</v>
      </c>
      <c r="K27" s="31" t="str">
        <f t="shared" si="1"/>
        <v>---</v>
      </c>
      <c r="L27" s="24" t="str">
        <f>IF(OR(H27="COMPRA IMEDIATA", H27="RUPTURA"), IF(K27="---", 0, _xlfn.XLOOKUP(B27, TBEstoque[SKU], TBEstoque[VALOR UNIT. (R$)]) * VALUE(LEFT(K27, SEARCH(" ", K27)-1))), "---")</f>
        <v>---</v>
      </c>
      <c r="M27" s="18">
        <v>46097</v>
      </c>
      <c r="N27" s="19">
        <v>45</v>
      </c>
      <c r="O27" s="18" t="str">
        <f>IF(OR(H27="COMPRA IMEDIATA", H27="RUPTURA"), WORKDAY(M27,N27,Feriados!$A$3:$A$19),"---")</f>
        <v>---</v>
      </c>
      <c r="P27" s="31"/>
      <c r="Q27" s="20" t="str">
        <f>IFERROR(_xlfn.LET(_xlpm.f, _xlfn.XLOOKUP(D27, TBEstoque[DESCRIÇÃO], TBEstoque[FORNECEDOR], "---"), IF(_xlpm.f=0, "---", _xlpm.f)), "---")</f>
        <v>FORNECEDOR 23</v>
      </c>
    </row>
    <row r="28" spans="2:17">
      <c r="B28" s="17">
        <f>TBEstoque[[#This Row],[SKU]]</f>
        <v>20837</v>
      </c>
      <c r="C28" s="20" t="str">
        <f>IF(TBEstoque[[#This Row],[SKU]]=TBSuprimentos[[#This Row],[SKU]],TBEstoque[[#This Row],[CATEGÓRIA]]," ")</f>
        <v>Expedição</v>
      </c>
      <c r="D28" s="20" t="str">
        <f>IF(TBSuprimentos[[#This Row],[SKU]]=TBEstoque[[#This Row],[SKU]],TBEstoque[[#This Row],[DESCRIÇÃO]]," ")</f>
        <v>ETIQUETA 100X100 BOPP ROLO</v>
      </c>
      <c r="E28" s="20" t="str">
        <f>IF(TBSuprimentos[[#This Row],[SKU]]=TBEstoque[[#This Row],[SKU]],TBEstoque[[#This Row],[UNID. MEDIDA]]," ")</f>
        <v>Unid</v>
      </c>
      <c r="F28" s="31">
        <f>_xlfn.XLOOKUP(TBSuprimentos[[#This Row],[SKU]], TBEstoque[SKU], TBEstoque[ESTOQUE ATUAL], 0) - SUMIF(TBConsumo[SKU], TBSuprimentos[[#This Row],[SKU]], TBConsumo[QTDE SOLICITADA])</f>
        <v>1000</v>
      </c>
      <c r="G28" s="31">
        <f>VLOOKUP(TBSuprimentos[[#This Row],[DESCRIÇÃO]],TBEstoque[[DESCRIÇÃO]:[CONSUMO MÉDIO MENSAL]],4,0)</f>
        <v>250</v>
      </c>
      <c r="H28" s="40" t="str">
        <f t="shared" si="0"/>
        <v>EXCESSO</v>
      </c>
      <c r="I28" s="20">
        <v>1</v>
      </c>
      <c r="J28" s="22" t="s">
        <v>195</v>
      </c>
      <c r="K28" s="31" t="str">
        <f t="shared" si="1"/>
        <v>---</v>
      </c>
      <c r="L28" s="24" t="str">
        <f>IF(OR(H28="COMPRA IMEDIATA", H28="RUPTURA"), IF(K28="---", 0, _xlfn.XLOOKUP(B28, TBEstoque[SKU], TBEstoque[VALOR UNIT. (R$)]) * VALUE(LEFT(K28, SEARCH(" ", K28)-1))), "---")</f>
        <v>---</v>
      </c>
      <c r="M28" s="18">
        <v>46097</v>
      </c>
      <c r="N28" s="19">
        <v>15</v>
      </c>
      <c r="O28" s="18" t="str">
        <f>IF(OR(H28="COMPRA IMEDIATA", H28="RUPTURA"), WORKDAY(M28,N28,Feriados!$A$3:$A$19),"---")</f>
        <v>---</v>
      </c>
      <c r="P28" s="31"/>
      <c r="Q28" s="20" t="str">
        <f>IFERROR(_xlfn.LET(_xlpm.f, _xlfn.XLOOKUP(D28, TBEstoque[DESCRIÇÃO], TBEstoque[FORNECEDOR], "---"), IF(_xlpm.f=0, "---", _xlpm.f)), "---")</f>
        <v>FORNECEDOR 03</v>
      </c>
    </row>
    <row r="29" spans="2:17">
      <c r="B29" s="17">
        <f>TBEstoque[[#This Row],[SKU]]</f>
        <v>20838</v>
      </c>
      <c r="C29" s="20" t="str">
        <f>IF(TBEstoque[[#This Row],[SKU]]=TBSuprimentos[[#This Row],[SKU]],TBEstoque[[#This Row],[CATEGÓRIA]]," ")</f>
        <v>Expedição</v>
      </c>
      <c r="D29" s="20" t="str">
        <f>IF(TBSuprimentos[[#This Row],[SKU]]=TBEstoque[[#This Row],[SKU]],TBEstoque[[#This Row],[DESCRIÇÃO]]," ")</f>
        <v>ETIQUETA 100X100 COUCHE ROLO C/350</v>
      </c>
      <c r="E29" s="20" t="str">
        <f>IF(TBSuprimentos[[#This Row],[SKU]]=TBEstoque[[#This Row],[SKU]],TBEstoque[[#This Row],[UNID. MEDIDA]]," ")</f>
        <v>Unid</v>
      </c>
      <c r="F29" s="31">
        <f>_xlfn.XLOOKUP(TBSuprimentos[[#This Row],[SKU]], TBEstoque[SKU], TBEstoque[ESTOQUE ATUAL], 0) - SUMIF(TBConsumo[SKU], TBSuprimentos[[#This Row],[SKU]], TBConsumo[QTDE SOLICITADA])</f>
        <v>2140</v>
      </c>
      <c r="G29" s="31">
        <f>VLOOKUP(TBSuprimentos[[#This Row],[DESCRIÇÃO]],TBEstoque[[DESCRIÇÃO]:[CONSUMO MÉDIO MENSAL]],4,0)</f>
        <v>1500</v>
      </c>
      <c r="H29" s="40" t="str">
        <f t="shared" si="0"/>
        <v>SAUDÁVEL</v>
      </c>
      <c r="I29" s="20">
        <v>1</v>
      </c>
      <c r="J29" s="22" t="s">
        <v>14</v>
      </c>
      <c r="K29" s="31" t="str">
        <f t="shared" si="1"/>
        <v>---</v>
      </c>
      <c r="L29" s="24" t="str">
        <f>IF(OR(H29="COMPRA IMEDIATA", H29="RUPTURA"), IF(K29="---", 0, _xlfn.XLOOKUP(B29, TBEstoque[SKU], TBEstoque[VALOR UNIT. (R$)]) * VALUE(LEFT(K29, SEARCH(" ", K29)-1))), "---")</f>
        <v>---</v>
      </c>
      <c r="M29" s="18">
        <v>46097</v>
      </c>
      <c r="N29" s="19">
        <v>15</v>
      </c>
      <c r="O29" s="18" t="str">
        <f>IF(OR(H29="COMPRA IMEDIATA", H29="RUPTURA"), WORKDAY(M29,N29,Feriados!$A$3:$A$19),"---")</f>
        <v>---</v>
      </c>
      <c r="P29" s="31"/>
      <c r="Q29" s="20" t="str">
        <f>IFERROR(_xlfn.LET(_xlpm.f, _xlfn.XLOOKUP(D29, TBEstoque[DESCRIÇÃO], TBEstoque[FORNECEDOR], "---"), IF(_xlpm.f=0, "---", _xlpm.f)), "---")</f>
        <v>FORNECEDOR 03</v>
      </c>
    </row>
    <row r="30" spans="2:17">
      <c r="B30" s="17">
        <f>TBEstoque[[#This Row],[SKU]]</f>
        <v>20836</v>
      </c>
      <c r="C30" s="20" t="str">
        <f>IF(TBEstoque[[#This Row],[SKU]]=TBSuprimentos[[#This Row],[SKU]],TBEstoque[[#This Row],[CATEGÓRIA]]," ")</f>
        <v>Expedição</v>
      </c>
      <c r="D30" s="20" t="str">
        <f>IF(TBSuprimentos[[#This Row],[SKU]]=TBEstoque[[#This Row],[SKU]],TBEstoque[[#This Row],[DESCRIÇÃO]]," ")</f>
        <v>ETIQUETA 100X30 BOPP ROLO</v>
      </c>
      <c r="E30" s="20" t="str">
        <f>IF(TBSuprimentos[[#This Row],[SKU]]=TBEstoque[[#This Row],[SKU]],TBEstoque[[#This Row],[UNID. MEDIDA]]," ")</f>
        <v>Unid</v>
      </c>
      <c r="F30" s="31">
        <f>_xlfn.XLOOKUP(TBSuprimentos[[#This Row],[SKU]], TBEstoque[SKU], TBEstoque[ESTOQUE ATUAL], 0) - SUMIF(TBConsumo[SKU], TBSuprimentos[[#This Row],[SKU]], TBConsumo[QTDE SOLICITADA])</f>
        <v>365</v>
      </c>
      <c r="G30" s="31">
        <f>VLOOKUP(TBSuprimentos[[#This Row],[DESCRIÇÃO]],TBEstoque[[DESCRIÇÃO]:[CONSUMO MÉDIO MENSAL]],4,0)</f>
        <v>50</v>
      </c>
      <c r="H30" s="40" t="str">
        <f t="shared" si="0"/>
        <v>EXCESSO</v>
      </c>
      <c r="I30" s="20">
        <v>1</v>
      </c>
      <c r="J30" s="22" t="s">
        <v>14</v>
      </c>
      <c r="K30" s="31" t="str">
        <f t="shared" si="1"/>
        <v>---</v>
      </c>
      <c r="L30" s="24" t="str">
        <f>IF(OR(H30="COMPRA IMEDIATA", H30="RUPTURA"), IF(K30="---", 0, _xlfn.XLOOKUP(B30, TBEstoque[SKU], TBEstoque[VALOR UNIT. (R$)]) * VALUE(LEFT(K30, SEARCH(" ", K30)-1))), "---")</f>
        <v>---</v>
      </c>
      <c r="M30" s="18">
        <v>46097</v>
      </c>
      <c r="N30" s="19">
        <v>15</v>
      </c>
      <c r="O30" s="18" t="str">
        <f>IF(OR(H30="COMPRA IMEDIATA", H30="RUPTURA"), WORKDAY(M30,N30,Feriados!$A$3:$A$19),"---")</f>
        <v>---</v>
      </c>
      <c r="P30" s="31"/>
      <c r="Q30" s="20" t="str">
        <f>IFERROR(_xlfn.LET(_xlpm.f, _xlfn.XLOOKUP(D30, TBEstoque[DESCRIÇÃO], TBEstoque[FORNECEDOR], "---"), IF(_xlpm.f=0, "---", _xlpm.f)), "---")</f>
        <v>FORNECEDOR 03</v>
      </c>
    </row>
    <row r="31" spans="2:17">
      <c r="B31" s="17">
        <f>TBEstoque[[#This Row],[SKU]]</f>
        <v>20839</v>
      </c>
      <c r="C31" s="20" t="str">
        <f>IF(TBEstoque[[#This Row],[SKU]]=TBSuprimentos[[#This Row],[SKU]],TBEstoque[[#This Row],[CATEGÓRIA]]," ")</f>
        <v>Expedição</v>
      </c>
      <c r="D31" s="20" t="str">
        <f>IF(TBSuprimentos[[#This Row],[SKU]]=TBEstoque[[#This Row],[SKU]],TBEstoque[[#This Row],[DESCRIÇÃO]]," ")</f>
        <v>FILME STRECH (UNID)</v>
      </c>
      <c r="E31" s="20" t="str">
        <f>IF(TBSuprimentos[[#This Row],[SKU]]=TBEstoque[[#This Row],[SKU]],TBEstoque[[#This Row],[UNID. MEDIDA]]," ")</f>
        <v>Unid</v>
      </c>
      <c r="F31" s="31">
        <f>_xlfn.XLOOKUP(TBSuprimentos[[#This Row],[SKU]], TBEstoque[SKU], TBEstoque[ESTOQUE ATUAL], 0) - SUMIF(TBConsumo[SKU], TBSuprimentos[[#This Row],[SKU]], TBConsumo[QTDE SOLICITADA])</f>
        <v>500</v>
      </c>
      <c r="G31" s="31">
        <f>VLOOKUP(TBSuprimentos[[#This Row],[DESCRIÇÃO]],TBEstoque[[DESCRIÇÃO]:[CONSUMO MÉDIO MENSAL]],4,0)</f>
        <v>150</v>
      </c>
      <c r="H31" s="40" t="str">
        <f t="shared" si="0"/>
        <v>EXCESSO</v>
      </c>
      <c r="I31" s="20">
        <v>1</v>
      </c>
      <c r="J31" s="22" t="s">
        <v>14</v>
      </c>
      <c r="K31" s="31" t="str">
        <f t="shared" si="1"/>
        <v>---</v>
      </c>
      <c r="L31" s="24" t="str">
        <f>IF(OR(H31="COMPRA IMEDIATA", H31="RUPTURA"), IF(K31="---", 0, _xlfn.XLOOKUP(B31, TBEstoque[SKU], TBEstoque[VALOR UNIT. (R$)]) * VALUE(LEFT(K31, SEARCH(" ", K31)-1))), "---")</f>
        <v>---</v>
      </c>
      <c r="M31" s="18">
        <v>46097</v>
      </c>
      <c r="N31" s="19">
        <v>15</v>
      </c>
      <c r="O31" s="18" t="str">
        <f>IF(OR(H31="COMPRA IMEDIATA", H31="RUPTURA"), WORKDAY(M31,N31,Feriados!$A$3:$A$19),"---")</f>
        <v>---</v>
      </c>
      <c r="P31" s="31"/>
      <c r="Q31" s="20" t="str">
        <f>IFERROR(_xlfn.LET(_xlpm.f, _xlfn.XLOOKUP(D31, TBEstoque[DESCRIÇÃO], TBEstoque[FORNECEDOR], "---"), IF(_xlpm.f=0, "---", _xlpm.f)), "---")</f>
        <v>FORNECEDOR 03</v>
      </c>
    </row>
    <row r="32" spans="2:17">
      <c r="B32" s="17">
        <f>TBEstoque[[#This Row],[SKU]]</f>
        <v>20840</v>
      </c>
      <c r="C32" s="20" t="str">
        <f>IF(TBEstoque[[#This Row],[SKU]]=TBSuprimentos[[#This Row],[SKU]],TBEstoque[[#This Row],[CATEGÓRIA]]," ")</f>
        <v>Expedição</v>
      </c>
      <c r="D32" s="20" t="str">
        <f>IF(TBSuprimentos[[#This Row],[SKU]]=TBEstoque[[#This Row],[SKU]],TBEstoque[[#This Row],[DESCRIÇÃO]]," ")</f>
        <v>FITA GOMADA 80MM(C/1,4 KGX160M) (CAIXA C/ 12 ROLOS)</v>
      </c>
      <c r="E32" s="20" t="str">
        <f>IF(TBSuprimentos[[#This Row],[SKU]]=TBEstoque[[#This Row],[SKU]],TBEstoque[[#This Row],[UNID. MEDIDA]]," ")</f>
        <v>Unid</v>
      </c>
      <c r="F32" s="31">
        <f>_xlfn.XLOOKUP(TBSuprimentos[[#This Row],[SKU]], TBEstoque[SKU], TBEstoque[ESTOQUE ATUAL], 0) - SUMIF(TBConsumo[SKU], TBSuprimentos[[#This Row],[SKU]], TBConsumo[QTDE SOLICITADA])</f>
        <v>72</v>
      </c>
      <c r="G32" s="31">
        <f>VLOOKUP(TBSuprimentos[[#This Row],[DESCRIÇÃO]],TBEstoque[[DESCRIÇÃO]:[CONSUMO MÉDIO MENSAL]],4,0)</f>
        <v>24</v>
      </c>
      <c r="H32" s="40" t="str">
        <f t="shared" si="0"/>
        <v>EXCESSO</v>
      </c>
      <c r="I32" s="20">
        <v>12</v>
      </c>
      <c r="J32" s="22" t="s">
        <v>4</v>
      </c>
      <c r="K32" s="31" t="str">
        <f t="shared" si="1"/>
        <v>---</v>
      </c>
      <c r="L32" s="24" t="str">
        <f>IF(OR(H32="COMPRA IMEDIATA", H32="RUPTURA"), IF(K32="---", 0, _xlfn.XLOOKUP(B32, TBEstoque[SKU], TBEstoque[VALOR UNIT. (R$)]) * VALUE(LEFT(K32, SEARCH(" ", K32)-1))), "---")</f>
        <v>---</v>
      </c>
      <c r="M32" s="18">
        <v>46097</v>
      </c>
      <c r="N32" s="19">
        <v>15</v>
      </c>
      <c r="O32" s="18" t="str">
        <f>IF(OR(H32="COMPRA IMEDIATA", H32="RUPTURA"), WORKDAY(M32,N32,Feriados!$A$3:$A$19),"---")</f>
        <v>---</v>
      </c>
      <c r="P32" s="31"/>
      <c r="Q32" s="20" t="str">
        <f>IFERROR(_xlfn.LET(_xlpm.f, _xlfn.XLOOKUP(D32, TBEstoque[DESCRIÇÃO], TBEstoque[FORNECEDOR], "---"), IF(_xlpm.f=0, "---", _xlpm.f)), "---")</f>
        <v>FORNECEDOR 03</v>
      </c>
    </row>
    <row r="33" spans="2:17">
      <c r="B33" s="17">
        <f>TBEstoque[[#This Row],[SKU]]</f>
        <v>20841</v>
      </c>
      <c r="C33" s="20" t="str">
        <f>IF(TBEstoque[[#This Row],[SKU]]=TBSuprimentos[[#This Row],[SKU]],TBEstoque[[#This Row],[CATEGÓRIA]]," ")</f>
        <v>Expedição</v>
      </c>
      <c r="D33" s="20" t="str">
        <f>IF(TBSuprimentos[[#This Row],[SKU]]=TBEstoque[[#This Row],[SKU]],TBEstoque[[#This Row],[DESCRIÇÃO]]," ")</f>
        <v>FITA OFICIAL FARMA 48 X 100M (UNID)</v>
      </c>
      <c r="E33" s="20" t="str">
        <f>IF(TBSuprimentos[[#This Row],[SKU]]=TBEstoque[[#This Row],[SKU]],TBEstoque[[#This Row],[UNID. MEDIDA]]," ")</f>
        <v>Unid</v>
      </c>
      <c r="F33" s="31">
        <f>_xlfn.XLOOKUP(TBSuprimentos[[#This Row],[SKU]], TBEstoque[SKU], TBEstoque[ESTOQUE ATUAL], 0) - SUMIF(TBConsumo[SKU], TBSuprimentos[[#This Row],[SKU]], TBConsumo[QTDE SOLICITADA])</f>
        <v>200</v>
      </c>
      <c r="G33" s="31">
        <f>VLOOKUP(TBSuprimentos[[#This Row],[DESCRIÇÃO]],TBEstoque[[DESCRIÇÃO]:[CONSUMO MÉDIO MENSAL]],4,0)</f>
        <v>20</v>
      </c>
      <c r="H33" s="40" t="str">
        <f t="shared" si="0"/>
        <v>EXCESSO</v>
      </c>
      <c r="I33" s="20">
        <v>1</v>
      </c>
      <c r="J33" s="22" t="s">
        <v>14</v>
      </c>
      <c r="K33" s="31" t="str">
        <f t="shared" si="1"/>
        <v>---</v>
      </c>
      <c r="L33" s="24" t="str">
        <f>IF(OR(H33="COMPRA IMEDIATA", H33="RUPTURA"), IF(K33="---", 0, _xlfn.XLOOKUP(B33, TBEstoque[SKU], TBEstoque[VALOR UNIT. (R$)]) * VALUE(LEFT(K33, SEARCH(" ", K33)-1))), "---")</f>
        <v>---</v>
      </c>
      <c r="M33" s="18">
        <v>46097</v>
      </c>
      <c r="N33" s="19">
        <v>30</v>
      </c>
      <c r="O33" s="18" t="str">
        <f>IF(OR(H33="COMPRA IMEDIATA", H33="RUPTURA"), WORKDAY(M33,N33,Feriados!$A$3:$A$19),"---")</f>
        <v>---</v>
      </c>
      <c r="P33" s="31"/>
      <c r="Q33" s="20" t="str">
        <f>IFERROR(_xlfn.LET(_xlpm.f, _xlfn.XLOOKUP(D33, TBEstoque[DESCRIÇÃO], TBEstoque[FORNECEDOR], "---"), IF(_xlpm.f=0, "---", _xlpm.f)), "---")</f>
        <v>FORNECEDOR 03</v>
      </c>
    </row>
    <row r="34" spans="2:17">
      <c r="B34" s="17">
        <f>TBEstoque[[#This Row],[SKU]]</f>
        <v>20846</v>
      </c>
      <c r="C34" s="20" t="str">
        <f>IF(TBEstoque[[#This Row],[SKU]]=TBSuprimentos[[#This Row],[SKU]],TBEstoque[[#This Row],[CATEGÓRIA]]," ")</f>
        <v>Expedição</v>
      </c>
      <c r="D34" s="20" t="str">
        <f>IF(TBSuprimentos[[#This Row],[SKU]]=TBEstoque[[#This Row],[SKU]],TBEstoque[[#This Row],[DESCRIÇÃO]]," ")</f>
        <v>FITA TRANSPARENTE 48 X 100M (UNI)</v>
      </c>
      <c r="E34" s="20" t="str">
        <f>IF(TBSuprimentos[[#This Row],[SKU]]=TBEstoque[[#This Row],[SKU]],TBEstoque[[#This Row],[UNID. MEDIDA]]," ")</f>
        <v>Unid</v>
      </c>
      <c r="F34" s="31">
        <f>_xlfn.XLOOKUP(TBSuprimentos[[#This Row],[SKU]], TBEstoque[SKU], TBEstoque[ESTOQUE ATUAL], 0) - SUMIF(TBConsumo[SKU], TBSuprimentos[[#This Row],[SKU]], TBConsumo[QTDE SOLICITADA])</f>
        <v>212</v>
      </c>
      <c r="G34" s="31">
        <f>VLOOKUP(TBSuprimentos[[#This Row],[DESCRIÇÃO]],TBEstoque[[DESCRIÇÃO]:[CONSUMO MÉDIO MENSAL]],4,0)</f>
        <v>50</v>
      </c>
      <c r="H34" s="40" t="str">
        <f t="shared" si="0"/>
        <v>EXCESSO</v>
      </c>
      <c r="I34" s="20">
        <v>1</v>
      </c>
      <c r="J34" s="22" t="s">
        <v>14</v>
      </c>
      <c r="K34" s="31" t="str">
        <f t="shared" si="1"/>
        <v>---</v>
      </c>
      <c r="L34" s="24" t="str">
        <f>IF(OR(H34="COMPRA IMEDIATA", H34="RUPTURA"), IF(K34="---", 0, _xlfn.XLOOKUP(B34, TBEstoque[SKU], TBEstoque[VALOR UNIT. (R$)]) * VALUE(LEFT(K34, SEARCH(" ", K34)-1))), "---")</f>
        <v>---</v>
      </c>
      <c r="M34" s="18">
        <v>46097</v>
      </c>
      <c r="N34" s="19">
        <v>15</v>
      </c>
      <c r="O34" s="18" t="str">
        <f>IF(OR(H34="COMPRA IMEDIATA", H34="RUPTURA"), WORKDAY(M34,N34,Feriados!$A$3:$A$19),"---")</f>
        <v>---</v>
      </c>
      <c r="P34" s="31"/>
      <c r="Q34" s="20" t="str">
        <f>IFERROR(_xlfn.LET(_xlpm.f, _xlfn.XLOOKUP(D34, TBEstoque[DESCRIÇÃO], TBEstoque[FORNECEDOR], "---"), IF(_xlpm.f=0, "---", _xlpm.f)), "---")</f>
        <v>FORNECEDOR 03</v>
      </c>
    </row>
    <row r="35" spans="2:17">
      <c r="B35" s="17">
        <f>TBEstoque[[#This Row],[SKU]]</f>
        <v>20842</v>
      </c>
      <c r="C35" s="20" t="str">
        <f>IF(TBEstoque[[#This Row],[SKU]]=TBSuprimentos[[#This Row],[SKU]],TBEstoque[[#This Row],[CATEGÓRIA]]," ")</f>
        <v>Expedição</v>
      </c>
      <c r="D35" s="20" t="str">
        <f>IF(TBSuprimentos[[#This Row],[SKU]]=TBEstoque[[#This Row],[SKU]],TBEstoque[[#This Row],[DESCRIÇÃO]]," ")</f>
        <v>GELO AZUL 500ML (UNID)</v>
      </c>
      <c r="E35" s="20" t="str">
        <f>IF(TBSuprimentos[[#This Row],[SKU]]=TBEstoque[[#This Row],[SKU]],TBEstoque[[#This Row],[UNID. MEDIDA]]," ")</f>
        <v>Cx</v>
      </c>
      <c r="F35" s="31">
        <f>_xlfn.XLOOKUP(TBSuprimentos[[#This Row],[SKU]], TBEstoque[SKU], TBEstoque[ESTOQUE ATUAL], 0) - SUMIF(TBConsumo[SKU], TBSuprimentos[[#This Row],[SKU]], TBConsumo[QTDE SOLICITADA])</f>
        <v>498</v>
      </c>
      <c r="G35" s="31">
        <f>VLOOKUP(TBSuprimentos[[#This Row],[DESCRIÇÃO]],TBEstoque[[DESCRIÇÃO]:[CONSUMO MÉDIO MENSAL]],4,0)</f>
        <v>150</v>
      </c>
      <c r="H35" s="40" t="str">
        <f t="shared" si="0"/>
        <v>EXCESSO</v>
      </c>
      <c r="I35" s="20">
        <v>15</v>
      </c>
      <c r="J35" s="22" t="s">
        <v>4</v>
      </c>
      <c r="K35" s="31" t="str">
        <f t="shared" si="1"/>
        <v>---</v>
      </c>
      <c r="L35" s="24" t="str">
        <f>IF(OR(H35="COMPRA IMEDIATA", H35="RUPTURA"), IF(K35="---", 0, _xlfn.XLOOKUP(B35, TBEstoque[SKU], TBEstoque[VALOR UNIT. (R$)]) * VALUE(LEFT(K35, SEARCH(" ", K35)-1))), "---")</f>
        <v>---</v>
      </c>
      <c r="M35" s="18">
        <v>46097</v>
      </c>
      <c r="N35" s="19">
        <v>15</v>
      </c>
      <c r="O35" s="18" t="str">
        <f>IF(OR(H35="COMPRA IMEDIATA", H35="RUPTURA"), WORKDAY(M35,N35,Feriados!$A$3:$A$19),"---")</f>
        <v>---</v>
      </c>
      <c r="P35" s="31"/>
      <c r="Q35" s="20" t="str">
        <f>IFERROR(_xlfn.LET(_xlpm.f, _xlfn.XLOOKUP(D35, TBEstoque[DESCRIÇÃO], TBEstoque[FORNECEDOR], "---"), IF(_xlpm.f=0, "---", _xlpm.f)), "---")</f>
        <v>FORNECEDOR 03</v>
      </c>
    </row>
    <row r="36" spans="2:17">
      <c r="B36" s="17">
        <f>TBEstoque[[#This Row],[SKU]]</f>
        <v>20843</v>
      </c>
      <c r="C36" s="20" t="str">
        <f>IF(TBEstoque[[#This Row],[SKU]]=TBSuprimentos[[#This Row],[SKU]],TBEstoque[[#This Row],[CATEGÓRIA]]," ")</f>
        <v>Expedição</v>
      </c>
      <c r="D36" s="20" t="str">
        <f>IF(TBSuprimentos[[#This Row],[SKU]]=TBEstoque[[#This Row],[SKU]],TBEstoque[[#This Row],[DESCRIÇÃO]]," ")</f>
        <v>PLÁSTICO BOLHA 1,30 X 100M (UNID/ROLO)</v>
      </c>
      <c r="E36" s="20" t="str">
        <f>IF(TBSuprimentos[[#This Row],[SKU]]=TBEstoque[[#This Row],[SKU]],TBEstoque[[#This Row],[UNID. MEDIDA]]," ")</f>
        <v>Unid</v>
      </c>
      <c r="F36" s="31">
        <f>_xlfn.XLOOKUP(TBSuprimentos[[#This Row],[SKU]], TBEstoque[SKU], TBEstoque[ESTOQUE ATUAL], 0) - SUMIF(TBConsumo[SKU], TBSuprimentos[[#This Row],[SKU]], TBConsumo[QTDE SOLICITADA])</f>
        <v>50</v>
      </c>
      <c r="G36" s="31">
        <f>VLOOKUP(TBSuprimentos[[#This Row],[DESCRIÇÃO]],TBEstoque[[DESCRIÇÃO]:[CONSUMO MÉDIO MENSAL]],4,0)</f>
        <v>10</v>
      </c>
      <c r="H36" s="40" t="str">
        <f t="shared" si="0"/>
        <v>EXCESSO</v>
      </c>
      <c r="I36" s="20">
        <v>1</v>
      </c>
      <c r="J36" s="22" t="s">
        <v>14</v>
      </c>
      <c r="K36" s="31" t="str">
        <f t="shared" si="1"/>
        <v>---</v>
      </c>
      <c r="L36" s="24" t="str">
        <f>IF(OR(H36="COMPRA IMEDIATA", H36="RUPTURA"), IF(K36="---", 0, _xlfn.XLOOKUP(B36, TBEstoque[SKU], TBEstoque[VALOR UNIT. (R$)]) * VALUE(LEFT(K36, SEARCH(" ", K36)-1))), "---")</f>
        <v>---</v>
      </c>
      <c r="M36" s="18">
        <v>46097</v>
      </c>
      <c r="N36" s="19">
        <v>15</v>
      </c>
      <c r="O36" s="18" t="str">
        <f>IF(OR(H36="COMPRA IMEDIATA", H36="RUPTURA"), WORKDAY(M36,N36,Feriados!$A$3:$A$19),"---")</f>
        <v>---</v>
      </c>
      <c r="P36" s="31"/>
      <c r="Q36" s="20" t="str">
        <f>IFERROR(_xlfn.LET(_xlpm.f, _xlfn.XLOOKUP(D36, TBEstoque[DESCRIÇÃO], TBEstoque[FORNECEDOR], "---"), IF(_xlpm.f=0, "---", _xlpm.f)), "---")</f>
        <v>FORNECEDOR 03</v>
      </c>
    </row>
    <row r="37" spans="2:17">
      <c r="B37" s="17">
        <f>TBEstoque[[#This Row],[SKU]]</f>
        <v>20844</v>
      </c>
      <c r="C37" s="20" t="str">
        <f>IF(TBEstoque[[#This Row],[SKU]]=TBSuprimentos[[#This Row],[SKU]],TBEstoque[[#This Row],[CATEGÓRIA]]," ")</f>
        <v>Expedição</v>
      </c>
      <c r="D37" s="20" t="str">
        <f>IF(TBSuprimentos[[#This Row],[SKU]]=TBEstoque[[#This Row],[SKU]],TBEstoque[[#This Row],[DESCRIÇÃO]]," ")</f>
        <v>RIBBON CERÂ (PCT C/ 2) - (UNID)</v>
      </c>
      <c r="E37" s="20" t="str">
        <f>IF(TBSuprimentos[[#This Row],[SKU]]=TBEstoque[[#This Row],[SKU]],TBEstoque[[#This Row],[UNID. MEDIDA]]," ")</f>
        <v>Pct</v>
      </c>
      <c r="F37" s="31">
        <f>_xlfn.XLOOKUP(TBSuprimentos[[#This Row],[SKU]], TBEstoque[SKU], TBEstoque[ESTOQUE ATUAL], 0) - SUMIF(TBConsumo[SKU], TBSuprimentos[[#This Row],[SKU]], TBConsumo[QTDE SOLICITADA])</f>
        <v>380</v>
      </c>
      <c r="G37" s="31">
        <f>VLOOKUP(TBSuprimentos[[#This Row],[DESCRIÇÃO]],TBEstoque[[DESCRIÇÃO]:[CONSUMO MÉDIO MENSAL]],4,0)</f>
        <v>300</v>
      </c>
      <c r="H37" s="40" t="str">
        <f t="shared" si="0"/>
        <v>SAUDÁVEL</v>
      </c>
      <c r="I37" s="20">
        <v>48</v>
      </c>
      <c r="J37" s="22" t="s">
        <v>4</v>
      </c>
      <c r="K37" s="31" t="str">
        <f t="shared" si="1"/>
        <v>---</v>
      </c>
      <c r="L37" s="24" t="str">
        <f>IF(OR(H37="COMPRA IMEDIATA", H37="RUPTURA"), IF(K37="---", 0, _xlfn.XLOOKUP(B37, TBEstoque[SKU], TBEstoque[VALOR UNIT. (R$)]) * VALUE(LEFT(K37, SEARCH(" ", K37)-1))), "---")</f>
        <v>---</v>
      </c>
      <c r="M37" s="18">
        <v>46097</v>
      </c>
      <c r="N37" s="19">
        <v>15</v>
      </c>
      <c r="O37" s="18" t="str">
        <f>IF(OR(H37="COMPRA IMEDIATA", H37="RUPTURA"), WORKDAY(M37,N37,Feriados!$A$3:$A$19),"---")</f>
        <v>---</v>
      </c>
      <c r="P37" s="31"/>
      <c r="Q37" s="20" t="str">
        <f>IFERROR(_xlfn.LET(_xlpm.f, _xlfn.XLOOKUP(D37, TBEstoque[DESCRIÇÃO], TBEstoque[FORNECEDOR], "---"), IF(_xlpm.f=0, "---", _xlpm.f)), "---")</f>
        <v>FORNECEDOR 03</v>
      </c>
    </row>
    <row r="38" spans="2:17">
      <c r="B38" s="17">
        <f>TBEstoque[[#This Row],[SKU]]</f>
        <v>20890</v>
      </c>
      <c r="C38" s="20" t="str">
        <f>IF(TBEstoque[[#This Row],[SKU]]=TBSuprimentos[[#This Row],[SKU]],TBEstoque[[#This Row],[CATEGÓRIA]]," ")</f>
        <v>Farmácia/Produção</v>
      </c>
      <c r="D38" s="20" t="str">
        <f>IF(TBSuprimentos[[#This Row],[SKU]]=TBEstoque[[#This Row],[SKU]],TBEstoque[[#This Row],[DESCRIÇÃO]]," ")</f>
        <v>AVENTAL DESCARTÁVEL PCT C/ 10 UNIDADES</v>
      </c>
      <c r="E38" s="20" t="str">
        <f>IF(TBSuprimentos[[#This Row],[SKU]]=TBEstoque[[#This Row],[SKU]],TBEstoque[[#This Row],[UNID. MEDIDA]]," ")</f>
        <v>Pct</v>
      </c>
      <c r="F38" s="31">
        <f>_xlfn.XLOOKUP(TBSuprimentos[[#This Row],[SKU]], TBEstoque[SKU], TBEstoque[ESTOQUE ATUAL], 0) - SUMIF(TBConsumo[SKU], TBSuprimentos[[#This Row],[SKU]], TBConsumo[QTDE SOLICITADA])</f>
        <v>282</v>
      </c>
      <c r="G38" s="31">
        <f>VLOOKUP(TBSuprimentos[[#This Row],[DESCRIÇÃO]],TBEstoque[[DESCRIÇÃO]:[CONSUMO MÉDIO MENSAL]],4,0)</f>
        <v>100</v>
      </c>
      <c r="H38" s="40" t="str">
        <f t="shared" si="0"/>
        <v>EXCESSO</v>
      </c>
      <c r="I38" s="20">
        <v>25</v>
      </c>
      <c r="J38" s="22" t="s">
        <v>196</v>
      </c>
      <c r="K38" s="31" t="str">
        <f t="shared" si="1"/>
        <v>---</v>
      </c>
      <c r="L38" s="24" t="str">
        <f>IF(OR(H38="COMPRA IMEDIATA", H38="RUPTURA"), IF(K38="---", 0, _xlfn.XLOOKUP(B38, TBEstoque[SKU], TBEstoque[VALOR UNIT. (R$)]) * VALUE(LEFT(K38, SEARCH(" ", K38)-1))), "---")</f>
        <v>---</v>
      </c>
      <c r="M38" s="18">
        <v>46097</v>
      </c>
      <c r="N38" s="19">
        <v>15</v>
      </c>
      <c r="O38" s="18" t="str">
        <f>IF(OR(H38="COMPRA IMEDIATA", H38="RUPTURA"), WORKDAY(M38,N38,Feriados!$A$3:$A$19),"---")</f>
        <v>---</v>
      </c>
      <c r="P38" s="31"/>
      <c r="Q38" s="20" t="str">
        <f>IFERROR(_xlfn.LET(_xlpm.f, _xlfn.XLOOKUP(D38, TBEstoque[DESCRIÇÃO], TBEstoque[FORNECEDOR], "---"), IF(_xlpm.f=0, "---", _xlpm.f)), "---")</f>
        <v>FORNECEDOR 03</v>
      </c>
    </row>
    <row r="39" spans="2:17">
      <c r="B39" s="17">
        <f>TBEstoque[[#This Row],[SKU]]</f>
        <v>20882</v>
      </c>
      <c r="C39" s="20" t="str">
        <f>IF(TBEstoque[[#This Row],[SKU]]=TBSuprimentos[[#This Row],[SKU]],TBEstoque[[#This Row],[CATEGÓRIA]]," ")</f>
        <v>Farmácia/Produção</v>
      </c>
      <c r="D39" s="20" t="str">
        <f>IF(TBSuprimentos[[#This Row],[SKU]]=TBEstoque[[#This Row],[SKU]],TBEstoque[[#This Row],[DESCRIÇÃO]]," ")</f>
        <v>BOBINA CUPOM FISCAL BRANCA OFICIAL FARMA (CX)</v>
      </c>
      <c r="E39" s="20" t="str">
        <f>IF(TBSuprimentos[[#This Row],[SKU]]=TBEstoque[[#This Row],[SKU]],TBEstoque[[#This Row],[UNID. MEDIDA]]," ")</f>
        <v>Cx</v>
      </c>
      <c r="F39" s="31">
        <f>_xlfn.XLOOKUP(TBSuprimentos[[#This Row],[SKU]], TBEstoque[SKU], TBEstoque[ESTOQUE ATUAL], 0) - SUMIF(TBConsumo[SKU], TBSuprimentos[[#This Row],[SKU]], TBConsumo[QTDE SOLICITADA])</f>
        <v>10</v>
      </c>
      <c r="G39" s="31">
        <f>VLOOKUP(TBSuprimentos[[#This Row],[DESCRIÇÃO]],TBEstoque[[DESCRIÇÃO]:[CONSUMO MÉDIO MENSAL]],4,0)</f>
        <v>2</v>
      </c>
      <c r="H39" s="40" t="str">
        <f t="shared" si="0"/>
        <v>EXCESSO</v>
      </c>
      <c r="I39" s="41">
        <v>24</v>
      </c>
      <c r="J39" s="22" t="s">
        <v>4</v>
      </c>
      <c r="K39" s="31" t="str">
        <f t="shared" si="1"/>
        <v>---</v>
      </c>
      <c r="L39" s="24" t="str">
        <f>IF(OR(H39="COMPRA IMEDIATA", H39="RUPTURA"), IF(K39="---", 0, _xlfn.XLOOKUP(B39, TBEstoque[SKU], TBEstoque[VALOR UNIT. (R$)]) * VALUE(LEFT(K39, SEARCH(" ", K39)-1))), "---")</f>
        <v>---</v>
      </c>
      <c r="M39" s="18">
        <v>46097</v>
      </c>
      <c r="N39" s="19">
        <v>15</v>
      </c>
      <c r="O39" s="18" t="str">
        <f>IF(OR(H39="COMPRA IMEDIATA", H39="RUPTURA"), WORKDAY(M39,N39,Feriados!$A$3:$A$19),"---")</f>
        <v>---</v>
      </c>
      <c r="P39" s="31"/>
      <c r="Q39" s="20" t="str">
        <f>IFERROR(_xlfn.LET(_xlpm.f, _xlfn.XLOOKUP(D39, TBEstoque[DESCRIÇÃO], TBEstoque[FORNECEDOR], "---"), IF(_xlpm.f=0, "---", _xlpm.f)), "---")</f>
        <v>FORNECEDOR 03</v>
      </c>
    </row>
    <row r="40" spans="2:17">
      <c r="B40" s="17">
        <f>TBEstoque[[#This Row],[SKU]]</f>
        <v>20911</v>
      </c>
      <c r="C40" s="20" t="str">
        <f>IF(TBEstoque[[#This Row],[SKU]]=TBSuprimentos[[#This Row],[SKU]],TBEstoque[[#This Row],[CATEGÓRIA]]," ")</f>
        <v>Farmácia/Produção</v>
      </c>
      <c r="D40" s="20" t="str">
        <f>IF(TBSuprimentos[[#This Row],[SKU]]=TBEstoque[[#This Row],[SKU]],TBEstoque[[#This Row],[DESCRIÇÃO]]," ")</f>
        <v>ENVELOPE PREMIUN TNT M</v>
      </c>
      <c r="E40" s="20" t="str">
        <f>IF(TBSuprimentos[[#This Row],[SKU]]=TBEstoque[[#This Row],[SKU]],TBEstoque[[#This Row],[UNID. MEDIDA]]," ")</f>
        <v>Unid</v>
      </c>
      <c r="F40" s="31">
        <f>_xlfn.XLOOKUP(TBSuprimentos[[#This Row],[SKU]], TBEstoque[SKU], TBEstoque[ESTOQUE ATUAL], 0) - SUMIF(TBConsumo[SKU], TBSuprimentos[[#This Row],[SKU]], TBConsumo[QTDE SOLICITADA])</f>
        <v>2175</v>
      </c>
      <c r="G40" s="31">
        <f>VLOOKUP(TBSuprimentos[[#This Row],[DESCRIÇÃO]],TBEstoque[[DESCRIÇÃO]:[CONSUMO MÉDIO MENSAL]],4,0)</f>
        <v>500</v>
      </c>
      <c r="H40" s="40" t="str">
        <f t="shared" si="0"/>
        <v>EXCESSO</v>
      </c>
      <c r="I40" s="41">
        <v>20</v>
      </c>
      <c r="J40" s="22" t="s">
        <v>196</v>
      </c>
      <c r="K40" s="31" t="str">
        <f t="shared" si="1"/>
        <v>---</v>
      </c>
      <c r="L40" s="24" t="str">
        <f>IF(OR(H40="COMPRA IMEDIATA", H40="RUPTURA"), IF(K40="---", 0, _xlfn.XLOOKUP(B40, TBEstoque[SKU], TBEstoque[VALOR UNIT. (R$)]) * VALUE(LEFT(K40, SEARCH(" ", K40)-1))), "---")</f>
        <v>---</v>
      </c>
      <c r="M40" s="18">
        <v>46097</v>
      </c>
      <c r="N40" s="19">
        <v>30</v>
      </c>
      <c r="O40" s="18" t="str">
        <f>IF(OR(H40="COMPRA IMEDIATA", H40="RUPTURA"), WORKDAY(M40,N40,Feriados!$A$3:$A$19),"---")</f>
        <v>---</v>
      </c>
      <c r="P40" s="31"/>
      <c r="Q40" s="20" t="str">
        <f>IFERROR(_xlfn.LET(_xlpm.f, _xlfn.XLOOKUP(D40, TBEstoque[DESCRIÇÃO], TBEstoque[FORNECEDOR], "---"), IF(_xlpm.f=0, "---", _xlpm.f)), "---")</f>
        <v>FORNECEDOR 03</v>
      </c>
    </row>
    <row r="41" spans="2:17">
      <c r="B41" s="17">
        <f>TBEstoque[[#This Row],[SKU]]</f>
        <v>20912</v>
      </c>
      <c r="C41" s="20" t="str">
        <f>IF(TBEstoque[[#This Row],[SKU]]=TBSuprimentos[[#This Row],[SKU]],TBEstoque[[#This Row],[CATEGÓRIA]]," ")</f>
        <v>Farmácia/Produção</v>
      </c>
      <c r="D41" s="20" t="str">
        <f>IF(TBSuprimentos[[#This Row],[SKU]]=TBEstoque[[#This Row],[SKU]],TBEstoque[[#This Row],[DESCRIÇÃO]]," ")</f>
        <v>ENVELOPE PREMIUN TNT P</v>
      </c>
      <c r="E41" s="20" t="str">
        <f>IF(TBSuprimentos[[#This Row],[SKU]]=TBEstoque[[#This Row],[SKU]],TBEstoque[[#This Row],[UNID. MEDIDA]]," ")</f>
        <v>Unid</v>
      </c>
      <c r="F41" s="31">
        <f>_xlfn.XLOOKUP(TBSuprimentos[[#This Row],[SKU]], TBEstoque[SKU], TBEstoque[ESTOQUE ATUAL], 0) - SUMIF(TBConsumo[SKU], TBSuprimentos[[#This Row],[SKU]], TBConsumo[QTDE SOLICITADA])</f>
        <v>750</v>
      </c>
      <c r="G41" s="31">
        <f>VLOOKUP(TBSuprimentos[[#This Row],[DESCRIÇÃO]],TBEstoque[[DESCRIÇÃO]:[CONSUMO MÉDIO MENSAL]],4,0)</f>
        <v>750</v>
      </c>
      <c r="H41" s="40" t="str">
        <f t="shared" si="0"/>
        <v>SAUDÁVEL</v>
      </c>
      <c r="I41" s="41">
        <v>20</v>
      </c>
      <c r="J41" s="22" t="s">
        <v>196</v>
      </c>
      <c r="K41" s="31" t="str">
        <f t="shared" si="1"/>
        <v>---</v>
      </c>
      <c r="L41" s="24" t="str">
        <f>IF(OR(H41="COMPRA IMEDIATA", H41="RUPTURA"), IF(K41="---", 0, _xlfn.XLOOKUP(B41, TBEstoque[SKU], TBEstoque[VALOR UNIT. (R$)]) * VALUE(LEFT(K41, SEARCH(" ", K41)-1))), "---")</f>
        <v>---</v>
      </c>
      <c r="M41" s="18">
        <v>46097</v>
      </c>
      <c r="N41" s="19">
        <v>30</v>
      </c>
      <c r="O41" s="18" t="str">
        <f>IF(OR(H41="COMPRA IMEDIATA", H41="RUPTURA"), WORKDAY(M41,N41,Feriados!$A$3:$A$19),"---")</f>
        <v>---</v>
      </c>
      <c r="P41" s="31"/>
      <c r="Q41" s="20" t="str">
        <f>IFERROR(_xlfn.LET(_xlpm.f, _xlfn.XLOOKUP(D41, TBEstoque[DESCRIÇÃO], TBEstoque[FORNECEDOR], "---"), IF(_xlpm.f=0, "---", _xlpm.f)), "---")</f>
        <v>FORNECEDOR 03</v>
      </c>
    </row>
    <row r="42" spans="2:17">
      <c r="B42" s="17">
        <f>TBEstoque[[#This Row],[SKU]]</f>
        <v>20891</v>
      </c>
      <c r="C42" s="20" t="str">
        <f>IF(TBEstoque[[#This Row],[SKU]]=TBSuprimentos[[#This Row],[SKU]],TBEstoque[[#This Row],[CATEGÓRIA]]," ")</f>
        <v>Farmácia/Produção</v>
      </c>
      <c r="D42" s="20" t="str">
        <f>IF(TBSuprimentos[[#This Row],[SKU]]=TBEstoque[[#This Row],[SKU]],TBEstoque[[#This Row],[DESCRIÇÃO]]," ")</f>
        <v>LUVA COM PÓ G LATEX (CX)</v>
      </c>
      <c r="E42" s="20" t="str">
        <f>IF(TBSuprimentos[[#This Row],[SKU]]=TBEstoque[[#This Row],[SKU]],TBEstoque[[#This Row],[UNID. MEDIDA]]," ")</f>
        <v>Cx</v>
      </c>
      <c r="F42" s="31">
        <f>_xlfn.XLOOKUP(TBSuprimentos[[#This Row],[SKU]], TBEstoque[SKU], TBEstoque[ESTOQUE ATUAL], 0) - SUMIF(TBConsumo[SKU], TBSuprimentos[[#This Row],[SKU]], TBConsumo[QTDE SOLICITADA])</f>
        <v>120</v>
      </c>
      <c r="G42" s="31">
        <f>VLOOKUP(TBSuprimentos[[#This Row],[DESCRIÇÃO]],TBEstoque[[DESCRIÇÃO]:[CONSUMO MÉDIO MENSAL]],4,0)</f>
        <v>20</v>
      </c>
      <c r="H42" s="40" t="str">
        <f t="shared" si="0"/>
        <v>EXCESSO</v>
      </c>
      <c r="I42" s="41">
        <v>10</v>
      </c>
      <c r="J42" s="22" t="s">
        <v>183</v>
      </c>
      <c r="K42" s="31" t="str">
        <f t="shared" si="1"/>
        <v>---</v>
      </c>
      <c r="L42" s="24" t="str">
        <f>IF(OR(H42="COMPRA IMEDIATA", H42="RUPTURA"), IF(K42="---", 0, _xlfn.XLOOKUP(B42, TBEstoque[SKU], TBEstoque[VALOR UNIT. (R$)]) * VALUE(LEFT(K42, SEARCH(" ", K42)-1))), "---")</f>
        <v>---</v>
      </c>
      <c r="M42" s="18">
        <v>46097</v>
      </c>
      <c r="N42" s="19">
        <v>15</v>
      </c>
      <c r="O42" s="18" t="str">
        <f>IF(OR(H42="COMPRA IMEDIATA", H42="RUPTURA"), WORKDAY(M42,N42,Feriados!$A$3:$A$19),"---")</f>
        <v>---</v>
      </c>
      <c r="P42" s="31"/>
      <c r="Q42" s="20" t="str">
        <f>IFERROR(_xlfn.LET(_xlpm.f, _xlfn.XLOOKUP(D42, TBEstoque[DESCRIÇÃO], TBEstoque[FORNECEDOR], "---"), IF(_xlpm.f=0, "---", _xlpm.f)), "---")</f>
        <v>FORNECEDOR 03</v>
      </c>
    </row>
    <row r="43" spans="2:17">
      <c r="B43" s="17">
        <f>TBEstoque[[#This Row],[SKU]]</f>
        <v>20892</v>
      </c>
      <c r="C43" s="20" t="str">
        <f>IF(TBEstoque[[#This Row],[SKU]]=TBSuprimentos[[#This Row],[SKU]],TBEstoque[[#This Row],[CATEGÓRIA]]," ")</f>
        <v>Farmácia/Produção</v>
      </c>
      <c r="D43" s="20" t="str">
        <f>IF(TBSuprimentos[[#This Row],[SKU]]=TBEstoque[[#This Row],[SKU]],TBEstoque[[#This Row],[DESCRIÇÃO]]," ")</f>
        <v>Luva Com Pó M Latex (Cx)</v>
      </c>
      <c r="E43" s="20" t="str">
        <f>IF(TBSuprimentos[[#This Row],[SKU]]=TBEstoque[[#This Row],[SKU]],TBEstoque[[#This Row],[UNID. MEDIDA]]," ")</f>
        <v>Cx</v>
      </c>
      <c r="F43" s="31">
        <f>_xlfn.XLOOKUP(TBSuprimentos[[#This Row],[SKU]], TBEstoque[SKU], TBEstoque[ESTOQUE ATUAL], 0) - SUMIF(TBConsumo[SKU], TBSuprimentos[[#This Row],[SKU]], TBConsumo[QTDE SOLICITADA])</f>
        <v>109</v>
      </c>
      <c r="G43" s="31">
        <f>VLOOKUP(TBSuprimentos[[#This Row],[DESCRIÇÃO]],TBEstoque[[DESCRIÇÃO]:[CONSUMO MÉDIO MENSAL]],4,0)</f>
        <v>25</v>
      </c>
      <c r="H43" s="40" t="str">
        <f t="shared" si="0"/>
        <v>EXCESSO</v>
      </c>
      <c r="I43" s="41">
        <v>10</v>
      </c>
      <c r="J43" s="22" t="s">
        <v>183</v>
      </c>
      <c r="K43" s="31" t="str">
        <f t="shared" si="1"/>
        <v>---</v>
      </c>
      <c r="L43" s="24" t="str">
        <f>IF(OR(H43="COMPRA IMEDIATA", H43="RUPTURA"), IF(K43="---", 0, _xlfn.XLOOKUP(B43, TBEstoque[SKU], TBEstoque[VALOR UNIT. (R$)]) * VALUE(LEFT(K43, SEARCH(" ", K43)-1))), "---")</f>
        <v>---</v>
      </c>
      <c r="M43" s="18">
        <v>46097</v>
      </c>
      <c r="N43" s="19">
        <v>15</v>
      </c>
      <c r="O43" s="18" t="str">
        <f>IF(OR(H43="COMPRA IMEDIATA", H43="RUPTURA"), WORKDAY(M43,N43,Feriados!$A$3:$A$19),"---")</f>
        <v>---</v>
      </c>
      <c r="P43" s="31"/>
      <c r="Q43" s="20" t="str">
        <f>IFERROR(_xlfn.LET(_xlpm.f, _xlfn.XLOOKUP(D43, TBEstoque[DESCRIÇÃO], TBEstoque[FORNECEDOR], "---"), IF(_xlpm.f=0, "---", _xlpm.f)), "---")</f>
        <v>FORNECEDOR 03</v>
      </c>
    </row>
    <row r="44" spans="2:17">
      <c r="B44" s="17">
        <f>TBEstoque[[#This Row],[SKU]]</f>
        <v>20893</v>
      </c>
      <c r="C44" s="20" t="str">
        <f>IF(TBEstoque[[#This Row],[SKU]]=TBSuprimentos[[#This Row],[SKU]],TBEstoque[[#This Row],[CATEGÓRIA]]," ")</f>
        <v>Farmácia/Produção</v>
      </c>
      <c r="D44" s="20" t="str">
        <f>IF(TBSuprimentos[[#This Row],[SKU]]=TBEstoque[[#This Row],[SKU]],TBEstoque[[#This Row],[DESCRIÇÃO]]," ")</f>
        <v>LUVA COM PÓ P LATEX (CX)</v>
      </c>
      <c r="E44" s="20" t="str">
        <f>IF(TBSuprimentos[[#This Row],[SKU]]=TBEstoque[[#This Row],[SKU]],TBEstoque[[#This Row],[UNID. MEDIDA]]," ")</f>
        <v>Cx</v>
      </c>
      <c r="F44" s="31">
        <f>_xlfn.XLOOKUP(TBSuprimentos[[#This Row],[SKU]], TBEstoque[SKU], TBEstoque[ESTOQUE ATUAL], 0) - SUMIF(TBConsumo[SKU], TBSuprimentos[[#This Row],[SKU]], TBConsumo[QTDE SOLICITADA])</f>
        <v>120</v>
      </c>
      <c r="G44" s="31">
        <f>VLOOKUP(TBSuprimentos[[#This Row],[DESCRIÇÃO]],TBEstoque[[DESCRIÇÃO]:[CONSUMO MÉDIO MENSAL]],4,0)</f>
        <v>40</v>
      </c>
      <c r="H44" s="40" t="str">
        <f t="shared" si="0"/>
        <v>EXCESSO</v>
      </c>
      <c r="I44" s="41">
        <v>10</v>
      </c>
      <c r="J44" s="22" t="s">
        <v>183</v>
      </c>
      <c r="K44" s="31" t="str">
        <f t="shared" si="1"/>
        <v>---</v>
      </c>
      <c r="L44" s="24" t="str">
        <f>IF(OR(H44="COMPRA IMEDIATA", H44="RUPTURA"), IF(K44="---", 0, _xlfn.XLOOKUP(B44, TBEstoque[SKU], TBEstoque[VALOR UNIT. (R$)]) * VALUE(LEFT(K44, SEARCH(" ", K44)-1))), "---")</f>
        <v>---</v>
      </c>
      <c r="M44" s="18">
        <v>46097</v>
      </c>
      <c r="N44" s="19">
        <v>15</v>
      </c>
      <c r="O44" s="18" t="str">
        <f>IF(OR(H44="COMPRA IMEDIATA", H44="RUPTURA"), WORKDAY(M44,N44,Feriados!$A$3:$A$19),"---")</f>
        <v>---</v>
      </c>
      <c r="P44" s="31"/>
      <c r="Q44" s="20" t="str">
        <f>IFERROR(_xlfn.LET(_xlpm.f, _xlfn.XLOOKUP(D44, TBEstoque[DESCRIÇÃO], TBEstoque[FORNECEDOR], "---"), IF(_xlpm.f=0, "---", _xlpm.f)), "---")</f>
        <v>FORNECEDOR 03</v>
      </c>
    </row>
    <row r="45" spans="2:17">
      <c r="B45" s="17">
        <f>TBEstoque[[#This Row],[SKU]]</f>
        <v>20894</v>
      </c>
      <c r="C45" s="20" t="str">
        <f>IF(TBEstoque[[#This Row],[SKU]]=TBSuprimentos[[#This Row],[SKU]],TBEstoque[[#This Row],[CATEGÓRIA]]," ")</f>
        <v>Farmácia/Produção</v>
      </c>
      <c r="D45" s="20" t="str">
        <f>IF(TBSuprimentos[[#This Row],[SKU]]=TBEstoque[[#This Row],[SKU]],TBEstoque[[#This Row],[DESCRIÇÃO]]," ")</f>
        <v>LUVA COM PÓ PP LATEX (CX)</v>
      </c>
      <c r="E45" s="20" t="str">
        <f>IF(TBSuprimentos[[#This Row],[SKU]]=TBEstoque[[#This Row],[SKU]],TBEstoque[[#This Row],[UNID. MEDIDA]]," ")</f>
        <v>Cx</v>
      </c>
      <c r="F45" s="31">
        <f>_xlfn.XLOOKUP(TBSuprimentos[[#This Row],[SKU]], TBEstoque[SKU], TBEstoque[ESTOQUE ATUAL], 0) - SUMIF(TBConsumo[SKU], TBSuprimentos[[#This Row],[SKU]], TBConsumo[QTDE SOLICITADA])</f>
        <v>120</v>
      </c>
      <c r="G45" s="31">
        <f>VLOOKUP(TBSuprimentos[[#This Row],[DESCRIÇÃO]],TBEstoque[[DESCRIÇÃO]:[CONSUMO MÉDIO MENSAL]],4,0)</f>
        <v>45</v>
      </c>
      <c r="H45" s="40" t="str">
        <f t="shared" si="0"/>
        <v>EXCESSO</v>
      </c>
      <c r="I45" s="41">
        <v>10</v>
      </c>
      <c r="J45" s="22" t="s">
        <v>183</v>
      </c>
      <c r="K45" s="31" t="str">
        <f t="shared" si="1"/>
        <v>---</v>
      </c>
      <c r="L45" s="24" t="str">
        <f>IF(OR(H45="COMPRA IMEDIATA", H45="RUPTURA"), IF(K45="---", 0, _xlfn.XLOOKUP(B45, TBEstoque[SKU], TBEstoque[VALOR UNIT. (R$)]) * VALUE(LEFT(K45, SEARCH(" ", K45)-1))), "---")</f>
        <v>---</v>
      </c>
      <c r="M45" s="18">
        <v>46097</v>
      </c>
      <c r="N45" s="19">
        <v>15</v>
      </c>
      <c r="O45" s="18" t="str">
        <f>IF(OR(H45="COMPRA IMEDIATA", H45="RUPTURA"), WORKDAY(M45,N45,Feriados!$A$3:$A$19),"---")</f>
        <v>---</v>
      </c>
      <c r="P45" s="31"/>
      <c r="Q45" s="20" t="str">
        <f>IFERROR(_xlfn.LET(_xlpm.f, _xlfn.XLOOKUP(D45, TBEstoque[DESCRIÇÃO], TBEstoque[FORNECEDOR], "---"), IF(_xlpm.f=0, "---", _xlpm.f)), "---")</f>
        <v>FORNECEDOR 03</v>
      </c>
    </row>
    <row r="46" spans="2:17">
      <c r="B46" s="17">
        <f>TBEstoque[[#This Row],[SKU]]</f>
        <v>20895</v>
      </c>
      <c r="C46" s="20" t="str">
        <f>IF(TBEstoque[[#This Row],[SKU]]=TBSuprimentos[[#This Row],[SKU]],TBEstoque[[#This Row],[CATEGÓRIA]]," ")</f>
        <v>Farmácia/Produção</v>
      </c>
      <c r="D46" s="20" t="str">
        <f>IF(TBSuprimentos[[#This Row],[SKU]]=TBEstoque[[#This Row],[SKU]],TBEstoque[[#This Row],[DESCRIÇÃO]]," ")</f>
        <v>LUVA SEM PÓ G LATEX (CX)</v>
      </c>
      <c r="E46" s="20" t="str">
        <f>IF(TBSuprimentos[[#This Row],[SKU]]=TBEstoque[[#This Row],[SKU]],TBEstoque[[#This Row],[UNID. MEDIDA]]," ")</f>
        <v>Cx</v>
      </c>
      <c r="F46" s="31">
        <f>_xlfn.XLOOKUP(TBSuprimentos[[#This Row],[SKU]], TBEstoque[SKU], TBEstoque[ESTOQUE ATUAL], 0) - SUMIF(TBConsumo[SKU], TBSuprimentos[[#This Row],[SKU]], TBConsumo[QTDE SOLICITADA])</f>
        <v>200</v>
      </c>
      <c r="G46" s="31">
        <f>VLOOKUP(TBSuprimentos[[#This Row],[DESCRIÇÃO]],TBEstoque[[DESCRIÇÃO]:[CONSUMO MÉDIO MENSAL]],4,0)</f>
        <v>50</v>
      </c>
      <c r="H46" s="40" t="str">
        <f t="shared" si="0"/>
        <v>EXCESSO</v>
      </c>
      <c r="I46" s="41">
        <v>10</v>
      </c>
      <c r="J46" s="22" t="s">
        <v>183</v>
      </c>
      <c r="K46" s="31" t="str">
        <f t="shared" si="1"/>
        <v>---</v>
      </c>
      <c r="L46" s="24" t="str">
        <f>IF(OR(H46="COMPRA IMEDIATA", H46="RUPTURA"), IF(K46="---", 0, _xlfn.XLOOKUP(B46, TBEstoque[SKU], TBEstoque[VALOR UNIT. (R$)]) * VALUE(LEFT(K46, SEARCH(" ", K46)-1))), "---")</f>
        <v>---</v>
      </c>
      <c r="M46" s="18">
        <v>46097</v>
      </c>
      <c r="N46" s="19">
        <v>15</v>
      </c>
      <c r="O46" s="18" t="str">
        <f>IF(OR(H46="COMPRA IMEDIATA", H46="RUPTURA"), WORKDAY(M46,N46,Feriados!$A$3:$A$19),"---")</f>
        <v>---</v>
      </c>
      <c r="P46" s="31"/>
      <c r="Q46" s="20" t="str">
        <f>IFERROR(_xlfn.LET(_xlpm.f, _xlfn.XLOOKUP(D46, TBEstoque[DESCRIÇÃO], TBEstoque[FORNECEDOR], "---"), IF(_xlpm.f=0, "---", _xlpm.f)), "---")</f>
        <v>FORNECEDOR 03</v>
      </c>
    </row>
    <row r="47" spans="2:17">
      <c r="B47" s="17">
        <f>TBEstoque[[#This Row],[SKU]]</f>
        <v>20896</v>
      </c>
      <c r="C47" s="20" t="str">
        <f>IF(TBEstoque[[#This Row],[SKU]]=TBSuprimentos[[#This Row],[SKU]],TBEstoque[[#This Row],[CATEGÓRIA]]," ")</f>
        <v>Farmácia/Produção</v>
      </c>
      <c r="D47" s="20" t="str">
        <f>IF(TBSuprimentos[[#This Row],[SKU]]=TBEstoque[[#This Row],[SKU]],TBEstoque[[#This Row],[DESCRIÇÃO]]," ")</f>
        <v>LUVA SEM PÓ M LATEX (CX)</v>
      </c>
      <c r="E47" s="20" t="str">
        <f>IF(TBSuprimentos[[#This Row],[SKU]]=TBEstoque[[#This Row],[SKU]],TBEstoque[[#This Row],[UNID. MEDIDA]]," ")</f>
        <v>Cx</v>
      </c>
      <c r="F47" s="31">
        <f>_xlfn.XLOOKUP(TBSuprimentos[[#This Row],[SKU]], TBEstoque[SKU], TBEstoque[ESTOQUE ATUAL], 0) - SUMIF(TBConsumo[SKU], TBSuprimentos[[#This Row],[SKU]], TBConsumo[QTDE SOLICITADA])</f>
        <v>233</v>
      </c>
      <c r="G47" s="31">
        <f>VLOOKUP(TBSuprimentos[[#This Row],[DESCRIÇÃO]],TBEstoque[[DESCRIÇÃO]:[CONSUMO MÉDIO MENSAL]],4,0)</f>
        <v>75</v>
      </c>
      <c r="H47" s="40" t="str">
        <f t="shared" si="0"/>
        <v>EXCESSO</v>
      </c>
      <c r="I47" s="41">
        <v>10</v>
      </c>
      <c r="J47" s="22" t="s">
        <v>183</v>
      </c>
      <c r="K47" s="31" t="str">
        <f t="shared" si="1"/>
        <v>---</v>
      </c>
      <c r="L47" s="24" t="str">
        <f>IF(OR(H47="COMPRA IMEDIATA", H47="RUPTURA"), IF(K47="---", 0, _xlfn.XLOOKUP(B47, TBEstoque[SKU], TBEstoque[VALOR UNIT. (R$)]) * VALUE(LEFT(K47, SEARCH(" ", K47)-1))), "---")</f>
        <v>---</v>
      </c>
      <c r="M47" s="18">
        <v>46097</v>
      </c>
      <c r="N47" s="19">
        <v>15</v>
      </c>
      <c r="O47" s="18" t="str">
        <f>IF(OR(H47="COMPRA IMEDIATA", H47="RUPTURA"), WORKDAY(M47,N47,Feriados!$A$3:$A$19),"---")</f>
        <v>---</v>
      </c>
      <c r="P47" s="31"/>
      <c r="Q47" s="20" t="str">
        <f>IFERROR(_xlfn.LET(_xlpm.f, _xlfn.XLOOKUP(D47, TBEstoque[DESCRIÇÃO], TBEstoque[FORNECEDOR], "---"), IF(_xlpm.f=0, "---", _xlpm.f)), "---")</f>
        <v>FORNECEDOR 03</v>
      </c>
    </row>
    <row r="48" spans="2:17">
      <c r="B48" s="17">
        <f>TBEstoque[[#This Row],[SKU]]</f>
        <v>20897</v>
      </c>
      <c r="C48" s="20" t="str">
        <f>IF(TBEstoque[[#This Row],[SKU]]=TBSuprimentos[[#This Row],[SKU]],TBEstoque[[#This Row],[CATEGÓRIA]]," ")</f>
        <v>Farmácia/Produção</v>
      </c>
      <c r="D48" s="20" t="str">
        <f>IF(TBSuprimentos[[#This Row],[SKU]]=TBEstoque[[#This Row],[SKU]],TBEstoque[[#This Row],[DESCRIÇÃO]]," ")</f>
        <v>LUVA SEM PÓ P LATEX (CX)</v>
      </c>
      <c r="E48" s="20" t="str">
        <f>IF(TBSuprimentos[[#This Row],[SKU]]=TBEstoque[[#This Row],[SKU]],TBEstoque[[#This Row],[UNID. MEDIDA]]," ")</f>
        <v>Cx</v>
      </c>
      <c r="F48" s="31">
        <f>_xlfn.XLOOKUP(TBSuprimentos[[#This Row],[SKU]], TBEstoque[SKU], TBEstoque[ESTOQUE ATUAL], 0) - SUMIF(TBConsumo[SKU], TBSuprimentos[[#This Row],[SKU]], TBConsumo[QTDE SOLICITADA])</f>
        <v>251</v>
      </c>
      <c r="G48" s="31">
        <f>VLOOKUP(TBSuprimentos[[#This Row],[DESCRIÇÃO]],TBEstoque[[DESCRIÇÃO]:[CONSUMO MÉDIO MENSAL]],4,0)</f>
        <v>100</v>
      </c>
      <c r="H48" s="40" t="str">
        <f t="shared" si="0"/>
        <v>EXCESSO</v>
      </c>
      <c r="I48" s="41">
        <v>10</v>
      </c>
      <c r="J48" s="22" t="s">
        <v>183</v>
      </c>
      <c r="K48" s="31" t="str">
        <f t="shared" si="1"/>
        <v>---</v>
      </c>
      <c r="L48" s="24" t="str">
        <f>IF(OR(H48="COMPRA IMEDIATA", H48="RUPTURA"), IF(K48="---", 0, _xlfn.XLOOKUP(B48, TBEstoque[SKU], TBEstoque[VALOR UNIT. (R$)]) * VALUE(LEFT(K48, SEARCH(" ", K48)-1))), "---")</f>
        <v>---</v>
      </c>
      <c r="M48" s="18">
        <v>46097</v>
      </c>
      <c r="N48" s="19">
        <v>15</v>
      </c>
      <c r="O48" s="18" t="str">
        <f>IF(OR(H48="COMPRA IMEDIATA", H48="RUPTURA"), WORKDAY(M48,N48,Feriados!$A$3:$A$19),"---")</f>
        <v>---</v>
      </c>
      <c r="P48" s="31"/>
      <c r="Q48" s="20" t="str">
        <f>IFERROR(_xlfn.LET(_xlpm.f, _xlfn.XLOOKUP(D48, TBEstoque[DESCRIÇÃO], TBEstoque[FORNECEDOR], "---"), IF(_xlpm.f=0, "---", _xlpm.f)), "---")</f>
        <v>FORNECEDOR 03</v>
      </c>
    </row>
    <row r="49" spans="2:17">
      <c r="B49" s="17">
        <f>TBEstoque[[#This Row],[SKU]]</f>
        <v>20898</v>
      </c>
      <c r="C49" s="20" t="str">
        <f>IF(TBEstoque[[#This Row],[SKU]]=TBSuprimentos[[#This Row],[SKU]],TBEstoque[[#This Row],[CATEGÓRIA]]," ")</f>
        <v>Farmácia/Produção</v>
      </c>
      <c r="D49" s="20" t="str">
        <f>IF(TBSuprimentos[[#This Row],[SKU]]=TBEstoque[[#This Row],[SKU]],TBEstoque[[#This Row],[DESCRIÇÃO]]," ")</f>
        <v>LUVA SEM PÓ PP LATEX (CX)</v>
      </c>
      <c r="E49" s="20" t="str">
        <f>IF(TBSuprimentos[[#This Row],[SKU]]=TBEstoque[[#This Row],[SKU]],TBEstoque[[#This Row],[UNID. MEDIDA]]," ")</f>
        <v>Cx</v>
      </c>
      <c r="F49" s="31">
        <f>_xlfn.XLOOKUP(TBSuprimentos[[#This Row],[SKU]], TBEstoque[SKU], TBEstoque[ESTOQUE ATUAL], 0) - SUMIF(TBConsumo[SKU], TBSuprimentos[[#This Row],[SKU]], TBConsumo[QTDE SOLICITADA])</f>
        <v>251</v>
      </c>
      <c r="G49" s="31">
        <f>VLOOKUP(TBSuprimentos[[#This Row],[DESCRIÇÃO]],TBEstoque[[DESCRIÇÃO]:[CONSUMO MÉDIO MENSAL]],4,0)</f>
        <v>100</v>
      </c>
      <c r="H49" s="40" t="str">
        <f t="shared" si="0"/>
        <v>EXCESSO</v>
      </c>
      <c r="I49" s="41">
        <v>10</v>
      </c>
      <c r="J49" s="22" t="s">
        <v>183</v>
      </c>
      <c r="K49" s="31" t="str">
        <f t="shared" si="1"/>
        <v>---</v>
      </c>
      <c r="L49" s="24" t="str">
        <f>IF(OR(H49="COMPRA IMEDIATA", H49="RUPTURA"), IF(K49="---", 0, _xlfn.XLOOKUP(B49, TBEstoque[SKU], TBEstoque[VALOR UNIT. (R$)]) * VALUE(LEFT(K49, SEARCH(" ", K49)-1))), "---")</f>
        <v>---</v>
      </c>
      <c r="M49" s="18">
        <v>46097</v>
      </c>
      <c r="N49" s="19">
        <v>15</v>
      </c>
      <c r="O49" s="18" t="str">
        <f>IF(OR(H49="COMPRA IMEDIATA", H49="RUPTURA"), WORKDAY(M49,N49,Feriados!$A$3:$A$19),"---")</f>
        <v>---</v>
      </c>
      <c r="P49" s="31"/>
      <c r="Q49" s="20" t="str">
        <f>IFERROR(_xlfn.LET(_xlpm.f, _xlfn.XLOOKUP(D49, TBEstoque[DESCRIÇÃO], TBEstoque[FORNECEDOR], "---"), IF(_xlpm.f=0, "---", _xlpm.f)), "---")</f>
        <v>FORNECEDOR 03</v>
      </c>
    </row>
    <row r="50" spans="2:17">
      <c r="B50" s="17">
        <f>TBEstoque[[#This Row],[SKU]]</f>
        <v>20899</v>
      </c>
      <c r="C50" s="20" t="str">
        <f>IF(TBEstoque[[#This Row],[SKU]]=TBSuprimentos[[#This Row],[SKU]],TBEstoque[[#This Row],[CATEGÓRIA]]," ")</f>
        <v>Farmácia/Produção</v>
      </c>
      <c r="D50" s="20" t="str">
        <f>IF(TBSuprimentos[[#This Row],[SKU]]=TBEstoque[[#This Row],[SKU]],TBEstoque[[#This Row],[DESCRIÇÃO]]," ")</f>
        <v xml:space="preserve">MÁSCARA Nº95 - UNIDADE </v>
      </c>
      <c r="E50" s="20" t="str">
        <f>IF(TBSuprimentos[[#This Row],[SKU]]=TBEstoque[[#This Row],[SKU]],TBEstoque[[#This Row],[UNID. MEDIDA]]," ")</f>
        <v>Unid</v>
      </c>
      <c r="F50" s="31">
        <f>_xlfn.XLOOKUP(TBSuprimentos[[#This Row],[SKU]], TBEstoque[SKU], TBEstoque[ESTOQUE ATUAL], 0) - SUMIF(TBConsumo[SKU], TBSuprimentos[[#This Row],[SKU]], TBConsumo[QTDE SOLICITADA])</f>
        <v>350</v>
      </c>
      <c r="G50" s="31">
        <f>VLOOKUP(TBSuprimentos[[#This Row],[DESCRIÇÃO]],TBEstoque[[DESCRIÇÃO]:[CONSUMO MÉDIO MENSAL]],4,0)</f>
        <v>50</v>
      </c>
      <c r="H50" s="40" t="str">
        <f t="shared" si="0"/>
        <v>EXCESSO</v>
      </c>
      <c r="I50" s="41">
        <v>1</v>
      </c>
      <c r="J50" s="22" t="s">
        <v>186</v>
      </c>
      <c r="K50" s="31" t="str">
        <f t="shared" si="1"/>
        <v>---</v>
      </c>
      <c r="L50" s="24" t="str">
        <f>IF(OR(H50="COMPRA IMEDIATA", H50="RUPTURA"), IF(K50="---", 0, _xlfn.XLOOKUP(B50, TBEstoque[SKU], TBEstoque[VALOR UNIT. (R$)]) * VALUE(LEFT(K50, SEARCH(" ", K50)-1))), "---")</f>
        <v>---</v>
      </c>
      <c r="M50" s="18">
        <v>46097</v>
      </c>
      <c r="N50" s="19">
        <v>15</v>
      </c>
      <c r="O50" s="18" t="str">
        <f>IF(OR(H50="COMPRA IMEDIATA", H50="RUPTURA"), WORKDAY(M50,N50,Feriados!$A$3:$A$19),"---")</f>
        <v>---</v>
      </c>
      <c r="P50" s="31"/>
      <c r="Q50" s="20" t="str">
        <f>IFERROR(_xlfn.LET(_xlpm.f, _xlfn.XLOOKUP(D50, TBEstoque[DESCRIÇÃO], TBEstoque[FORNECEDOR], "---"), IF(_xlpm.f=0, "---", _xlpm.f)), "---")</f>
        <v>FORNECEDOR 03</v>
      </c>
    </row>
    <row r="51" spans="2:17">
      <c r="B51" s="17">
        <f>TBEstoque[[#This Row],[SKU]]</f>
        <v>20902</v>
      </c>
      <c r="C51" s="20" t="str">
        <f>IF(TBEstoque[[#This Row],[SKU]]=TBSuprimentos[[#This Row],[SKU]],TBEstoque[[#This Row],[CATEGÓRIA]]," ")</f>
        <v>Farmácia/Produção</v>
      </c>
      <c r="D51" s="16" t="str">
        <f>IF(TBSuprimentos[[#This Row],[SKU]]=TBEstoque[[#This Row],[SKU]],TBEstoque[[#This Row],[DESCRIÇÃO]]," ")</f>
        <v>MÁSCARA TRIPLA DESCARTÁVEL (CAIXA 50 UNI)</v>
      </c>
      <c r="E51" s="20" t="str">
        <f>IF(TBSuprimentos[[#This Row],[SKU]]=TBEstoque[[#This Row],[SKU]],TBEstoque[[#This Row],[UNID. MEDIDA]]," ")</f>
        <v>Pct</v>
      </c>
      <c r="F51" s="31">
        <f>_xlfn.XLOOKUP(TBSuprimentos[[#This Row],[SKU]], TBEstoque[SKU], TBEstoque[ESTOQUE ATUAL], 0) - SUMIF(TBConsumo[SKU], TBSuprimentos[[#This Row],[SKU]], TBConsumo[QTDE SOLICITADA])</f>
        <v>175</v>
      </c>
      <c r="G51" s="31">
        <f>VLOOKUP(TBSuprimentos[[#This Row],[DESCRIÇÃO]],TBEstoque[[DESCRIÇÃO]:[CONSUMO MÉDIO MENSAL]],4,0)</f>
        <v>150</v>
      </c>
      <c r="H51" s="40" t="str">
        <f t="shared" si="0"/>
        <v>SAUDÁVEL</v>
      </c>
      <c r="I51" s="41">
        <v>50</v>
      </c>
      <c r="J51" s="22" t="s">
        <v>183</v>
      </c>
      <c r="K51" s="31" t="str">
        <f t="shared" si="1"/>
        <v>---</v>
      </c>
      <c r="L51" s="24" t="str">
        <f>IF(OR(H51="COMPRA IMEDIATA", H51="RUPTURA"), IF(K51="---", 0, _xlfn.XLOOKUP(B51, TBEstoque[SKU], TBEstoque[VALOR UNIT. (R$)]) * VALUE(LEFT(K51, SEARCH(" ", K51)-1))), "---")</f>
        <v>---</v>
      </c>
      <c r="M51" s="18">
        <v>46097</v>
      </c>
      <c r="N51" s="19">
        <v>15</v>
      </c>
      <c r="O51" s="18" t="str">
        <f>IF(OR(H51="COMPRA IMEDIATA", H51="RUPTURA"), WORKDAY(M51,N51,Feriados!$A$3:$A$19),"---")</f>
        <v>---</v>
      </c>
      <c r="P51" s="31"/>
      <c r="Q51" s="20" t="str">
        <f>IFERROR(_xlfn.LET(_xlpm.f, _xlfn.XLOOKUP(D51, TBEstoque[DESCRIÇÃO], TBEstoque[FORNECEDOR], "---"), IF(_xlpm.f=0, "---", _xlpm.f)), "---")</f>
        <v>FORNECEDOR 03</v>
      </c>
    </row>
    <row r="52" spans="2:17">
      <c r="B52" s="17">
        <f>TBEstoque[[#This Row],[SKU]]</f>
        <v>20905</v>
      </c>
      <c r="C52" s="20" t="str">
        <f>IF(TBEstoque[[#This Row],[SKU]]=TBSuprimentos[[#This Row],[SKU]],TBEstoque[[#This Row],[CATEGÓRIA]]," ")</f>
        <v>Farmácia/Produção</v>
      </c>
      <c r="D52" s="20" t="str">
        <f>IF(TBSuprimentos[[#This Row],[SKU]]=TBEstoque[[#This Row],[SKU]],TBEstoque[[#This Row],[DESCRIÇÃO]]," ")</f>
        <v>PACOTE SACHÊ 7X12 (CX C/1000)</v>
      </c>
      <c r="E52" s="20" t="str">
        <f>IF(TBSuprimentos[[#This Row],[SKU]]=TBEstoque[[#This Row],[SKU]],TBEstoque[[#This Row],[UNID. MEDIDA]]," ")</f>
        <v>Cx</v>
      </c>
      <c r="F52" s="31">
        <f>_xlfn.XLOOKUP(TBSuprimentos[[#This Row],[SKU]], TBEstoque[SKU], TBEstoque[ESTOQUE ATUAL], 0) - SUMIF(TBConsumo[SKU], TBSuprimentos[[#This Row],[SKU]], TBConsumo[QTDE SOLICITADA])</f>
        <v>32</v>
      </c>
      <c r="G52" s="31">
        <f>VLOOKUP(TBSuprimentos[[#This Row],[DESCRIÇÃO]],TBEstoque[[DESCRIÇÃO]:[CONSUMO MÉDIO MENSAL]],4,0)</f>
        <v>12</v>
      </c>
      <c r="H52" s="40" t="str">
        <f t="shared" si="0"/>
        <v>EXCESSO</v>
      </c>
      <c r="I52" s="41">
        <v>9</v>
      </c>
      <c r="J52" s="22" t="s">
        <v>183</v>
      </c>
      <c r="K52" s="31" t="str">
        <f t="shared" si="1"/>
        <v>---</v>
      </c>
      <c r="L52" s="24" t="str">
        <f>IF(OR(H52="COMPRA IMEDIATA", H52="RUPTURA"), IF(K52="---", 0, _xlfn.XLOOKUP(B52, TBEstoque[SKU], TBEstoque[VALOR UNIT. (R$)]) * VALUE(LEFT(K52, SEARCH(" ", K52)-1))), "---")</f>
        <v>---</v>
      </c>
      <c r="M52" s="18">
        <v>46097</v>
      </c>
      <c r="N52" s="19">
        <v>30</v>
      </c>
      <c r="O52" s="18" t="str">
        <f>IF(OR(H52="COMPRA IMEDIATA", H52="RUPTURA"), WORKDAY(M52,N52,Feriados!$A$3:$A$19),"---")</f>
        <v>---</v>
      </c>
      <c r="P52" s="31"/>
      <c r="Q52" s="20" t="str">
        <f>IFERROR(_xlfn.LET(_xlpm.f, _xlfn.XLOOKUP(D52, TBEstoque[DESCRIÇÃO], TBEstoque[FORNECEDOR], "---"), IF(_xlpm.f=0, "---", _xlpm.f)), "---")</f>
        <v>FORNECEDOR 03</v>
      </c>
    </row>
    <row r="53" spans="2:17">
      <c r="B53" s="17">
        <f>TBEstoque[[#This Row],[SKU]]</f>
        <v>20906</v>
      </c>
      <c r="C53" s="20" t="str">
        <f>IF(TBEstoque[[#This Row],[SKU]]=TBSuprimentos[[#This Row],[SKU]],TBEstoque[[#This Row],[CATEGÓRIA]]," ")</f>
        <v>Farmácia/Produção</v>
      </c>
      <c r="D53" s="20" t="str">
        <f>IF(TBSuprimentos[[#This Row],[SKU]]=TBEstoque[[#This Row],[SKU]],TBEstoque[[#This Row],[DESCRIÇÃO]]," ")</f>
        <v>PACOTE SACHÊ 7X7 (CX C/1000)</v>
      </c>
      <c r="E53" s="20" t="str">
        <f>IF(TBSuprimentos[[#This Row],[SKU]]=TBEstoque[[#This Row],[SKU]],TBEstoque[[#This Row],[UNID. MEDIDA]]," ")</f>
        <v>Cx</v>
      </c>
      <c r="F53" s="31">
        <f>_xlfn.XLOOKUP(TBSuprimentos[[#This Row],[SKU]], TBEstoque[SKU], TBEstoque[ESTOQUE ATUAL], 0) - SUMIF(TBConsumo[SKU], TBSuprimentos[[#This Row],[SKU]], TBConsumo[QTDE SOLICITADA])</f>
        <v>44</v>
      </c>
      <c r="G53" s="31">
        <f>VLOOKUP(TBSuprimentos[[#This Row],[DESCRIÇÃO]],TBEstoque[[DESCRIÇÃO]:[CONSUMO MÉDIO MENSAL]],4,0)</f>
        <v>22</v>
      </c>
      <c r="H53" s="40" t="str">
        <f t="shared" si="0"/>
        <v>SAUDÁVEL</v>
      </c>
      <c r="I53" s="41">
        <v>12</v>
      </c>
      <c r="J53" s="22" t="s">
        <v>183</v>
      </c>
      <c r="K53" s="31" t="str">
        <f t="shared" si="1"/>
        <v>---</v>
      </c>
      <c r="L53" s="24" t="str">
        <f>IF(OR(H53="COMPRA IMEDIATA", H53="RUPTURA"), IF(K53="---", 0, _xlfn.XLOOKUP(B53, TBEstoque[SKU], TBEstoque[VALOR UNIT. (R$)]) * VALUE(LEFT(K53, SEARCH(" ", K53)-1))), "---")</f>
        <v>---</v>
      </c>
      <c r="M53" s="18">
        <v>46097</v>
      </c>
      <c r="N53" s="19">
        <v>30</v>
      </c>
      <c r="O53" s="18" t="str">
        <f>IF(OR(H53="COMPRA IMEDIATA", H53="RUPTURA"), WORKDAY(M53,N53,Feriados!$A$3:$A$19),"---")</f>
        <v>---</v>
      </c>
      <c r="P53" s="31"/>
      <c r="Q53" s="20" t="str">
        <f>IFERROR(_xlfn.LET(_xlpm.f, _xlfn.XLOOKUP(D53, TBEstoque[DESCRIÇÃO], TBEstoque[FORNECEDOR], "---"), IF(_xlpm.f=0, "---", _xlpm.f)), "---")</f>
        <v>FORNECEDOR 03</v>
      </c>
    </row>
    <row r="54" spans="2:17">
      <c r="B54" s="17">
        <f>TBEstoque[[#This Row],[SKU]]</f>
        <v>20984</v>
      </c>
      <c r="C54" s="20" t="str">
        <f>IF(TBEstoque[[#This Row],[SKU]]=TBSuprimentos[[#This Row],[SKU]],TBEstoque[[#This Row],[CATEGÓRIA]]," ")</f>
        <v>Farmácia/Produção</v>
      </c>
      <c r="D54" s="16" t="str">
        <f>IF(TBSuprimentos[[#This Row],[SKU]]=TBEstoque[[#This Row],[SKU]],TBEstoque[[#This Row],[DESCRIÇÃO]]," ")</f>
        <v>PAPEL MULTIUSO INTERFOLHADO DEMARCARE NEVE</v>
      </c>
      <c r="E54" s="20" t="str">
        <f>IF(TBSuprimentos[[#This Row],[SKU]]=TBEstoque[[#This Row],[SKU]],TBEstoque[[#This Row],[UNID. MEDIDA]]," ")</f>
        <v>Pct</v>
      </c>
      <c r="F54" s="31">
        <f>_xlfn.XLOOKUP(TBSuprimentos[[#This Row],[SKU]], TBEstoque[SKU], TBEstoque[ESTOQUE ATUAL], 0) - SUMIF(TBConsumo[SKU], TBSuprimentos[[#This Row],[SKU]], TBConsumo[QTDE SOLICITADA])</f>
        <v>44</v>
      </c>
      <c r="G54" s="31">
        <f>VLOOKUP(TBSuprimentos[[#This Row],[DESCRIÇÃO]],TBEstoque[[DESCRIÇÃO]:[CONSUMO MÉDIO MENSAL]],4,0)</f>
        <v>48</v>
      </c>
      <c r="H54" s="40" t="str">
        <f t="shared" si="0"/>
        <v>COMPRA IMEDIATA</v>
      </c>
      <c r="I54" s="41">
        <v>48</v>
      </c>
      <c r="J54" s="22" t="s">
        <v>198</v>
      </c>
      <c r="K54" s="31" t="str">
        <f t="shared" si="1"/>
        <v>144 Pct</v>
      </c>
      <c r="L54" s="24">
        <f>IF(OR(H54="COMPRA IMEDIATA", H54="RUPTURA"), IF(K54="---", 0, _xlfn.XLOOKUP(B54, TBEstoque[SKU], TBEstoque[VALOR UNIT. (R$)]) * VALUE(LEFT(K54, SEARCH(" ", K54)-1))), "---")</f>
        <v>1396.008</v>
      </c>
      <c r="M54" s="18">
        <v>46097</v>
      </c>
      <c r="N54" s="19">
        <v>15</v>
      </c>
      <c r="O54" s="18">
        <f>IF(OR(H54="COMPRA IMEDIATA", H54="RUPTURA"), WORKDAY(M54,N54,Feriados!$A$3:$A$19),"---")</f>
        <v>46119</v>
      </c>
      <c r="P54" s="31"/>
      <c r="Q54" s="20" t="str">
        <f>IFERROR(_xlfn.LET(_xlpm.f, _xlfn.XLOOKUP(D54, TBEstoque[DESCRIÇÃO], TBEstoque[FORNECEDOR], "---"), IF(_xlpm.f=0, "---", _xlpm.f)), "---")</f>
        <v>FORNECEDOR 03</v>
      </c>
    </row>
    <row r="55" spans="2:17">
      <c r="B55" s="17">
        <f>TBEstoque[[#This Row],[SKU]]</f>
        <v>20901</v>
      </c>
      <c r="C55" s="20" t="str">
        <f>IF(TBEstoque[[#This Row],[SKU]]=TBSuprimentos[[#This Row],[SKU]],TBEstoque[[#This Row],[CATEGÓRIA]]," ")</f>
        <v>Farmácia/Produção</v>
      </c>
      <c r="D55" s="20" t="str">
        <f>IF(TBSuprimentos[[#This Row],[SKU]]=TBEstoque[[#This Row],[SKU]],TBEstoque[[#This Row],[DESCRIÇÃO]]," ")</f>
        <v>PROPÉ (PCT C/100)</v>
      </c>
      <c r="E55" s="20" t="str">
        <f>IF(TBSuprimentos[[#This Row],[SKU]]=TBEstoque[[#This Row],[SKU]],TBEstoque[[#This Row],[UNID. MEDIDA]]," ")</f>
        <v>Pct</v>
      </c>
      <c r="F55" s="31">
        <f>_xlfn.XLOOKUP(TBSuprimentos[[#This Row],[SKU]], TBEstoque[SKU], TBEstoque[ESTOQUE ATUAL], 0) - SUMIF(TBConsumo[SKU], TBSuprimentos[[#This Row],[SKU]], TBConsumo[QTDE SOLICITADA])</f>
        <v>216</v>
      </c>
      <c r="G55" s="31">
        <f>VLOOKUP(TBSuprimentos[[#This Row],[DESCRIÇÃO]],TBEstoque[[DESCRIÇÃO]:[CONSUMO MÉDIO MENSAL]],4,0)</f>
        <v>150</v>
      </c>
      <c r="H55" s="40" t="str">
        <f t="shared" si="0"/>
        <v>SAUDÁVEL</v>
      </c>
      <c r="I55" s="20">
        <v>25</v>
      </c>
      <c r="J55" s="22" t="s">
        <v>196</v>
      </c>
      <c r="K55" s="31" t="str">
        <f t="shared" si="1"/>
        <v>---</v>
      </c>
      <c r="L55" s="24" t="str">
        <f>IF(OR(H55="COMPRA IMEDIATA", H55="RUPTURA"), IF(K55="---", 0, _xlfn.XLOOKUP(B55, TBEstoque[SKU], TBEstoque[VALOR UNIT. (R$)]) * VALUE(LEFT(K55, SEARCH(" ", K55)-1))), "---")</f>
        <v>---</v>
      </c>
      <c r="M55" s="18">
        <v>46097</v>
      </c>
      <c r="N55" s="19">
        <v>15</v>
      </c>
      <c r="O55" s="18" t="str">
        <f>IF(OR(H55="COMPRA IMEDIATA", H55="RUPTURA"), WORKDAY(M55,N55,Feriados!$A$3:$A$19),"---")</f>
        <v>---</v>
      </c>
      <c r="P55" s="31"/>
      <c r="Q55" s="20" t="str">
        <f>IFERROR(_xlfn.LET(_xlpm.f, _xlfn.XLOOKUP(D55, TBEstoque[DESCRIÇÃO], TBEstoque[FORNECEDOR], "---"), IF(_xlpm.f=0, "---", _xlpm.f)), "---")</f>
        <v>FORNECEDOR 03</v>
      </c>
    </row>
    <row r="56" spans="2:17">
      <c r="B56" s="17">
        <f>TBEstoque[[#This Row],[SKU]]</f>
        <v>20884</v>
      </c>
      <c r="C56" s="20" t="str">
        <f>IF(TBEstoque[[#This Row],[SKU]]=TBSuprimentos[[#This Row],[SKU]],TBEstoque[[#This Row],[CATEGÓRIA]]," ")</f>
        <v>Farmácia/Produção</v>
      </c>
      <c r="D56" s="20" t="str">
        <f>IF(TBSuprimentos[[#This Row],[SKU]]=TBEstoque[[#This Row],[SKU]],TBEstoque[[#This Row],[DESCRIÇÃO]]," ")</f>
        <v>RIBBON RESINA ( PCT C/ 2)</v>
      </c>
      <c r="E56" s="20" t="str">
        <f>IF(TBSuprimentos[[#This Row],[SKU]]=TBEstoque[[#This Row],[SKU]],TBEstoque[[#This Row],[UNID. MEDIDA]]," ")</f>
        <v>Pct</v>
      </c>
      <c r="F56" s="31">
        <f>_xlfn.XLOOKUP(TBSuprimentos[[#This Row],[SKU]], TBEstoque[SKU], TBEstoque[ESTOQUE ATUAL], 0) - SUMIF(TBConsumo[SKU], TBSuprimentos[[#This Row],[SKU]], TBConsumo[QTDE SOLICITADA])</f>
        <v>145</v>
      </c>
      <c r="G56" s="31">
        <f>VLOOKUP(TBSuprimentos[[#This Row],[DESCRIÇÃO]],TBEstoque[[DESCRIÇÃO]:[CONSUMO MÉDIO MENSAL]],4,0)</f>
        <v>50</v>
      </c>
      <c r="H56" s="40" t="str">
        <f t="shared" si="0"/>
        <v>EXCESSO</v>
      </c>
      <c r="I56" s="41">
        <v>120</v>
      </c>
      <c r="J56" s="22" t="s">
        <v>186</v>
      </c>
      <c r="K56" s="31" t="str">
        <f t="shared" si="1"/>
        <v>---</v>
      </c>
      <c r="L56" s="24" t="str">
        <f>IF(OR(H56="COMPRA IMEDIATA", H56="RUPTURA"), IF(K56="---", 0, _xlfn.XLOOKUP(B56, TBEstoque[SKU], TBEstoque[VALOR UNIT. (R$)]) * VALUE(LEFT(K56, SEARCH(" ", K56)-1))), "---")</f>
        <v>---</v>
      </c>
      <c r="M56" s="18">
        <v>46097</v>
      </c>
      <c r="N56" s="19">
        <v>15</v>
      </c>
      <c r="O56" s="18" t="str">
        <f>IF(OR(H56="COMPRA IMEDIATA", H56="RUPTURA"), WORKDAY(M56,N56,Feriados!$A$3:$A$19),"---")</f>
        <v>---</v>
      </c>
      <c r="P56" s="31"/>
      <c r="Q56" s="20" t="str">
        <f>IFERROR(_xlfn.LET(_xlpm.f, _xlfn.XLOOKUP(D56, TBEstoque[DESCRIÇÃO], TBEstoque[FORNECEDOR], "---"), IF(_xlpm.f=0, "---", _xlpm.f)), "---")</f>
        <v>FORNECEDOR 03</v>
      </c>
    </row>
    <row r="57" spans="2:17">
      <c r="B57" s="17">
        <f>TBEstoque[[#This Row],[SKU]]</f>
        <v>20885</v>
      </c>
      <c r="C57" s="20" t="str">
        <f>IF(TBEstoque[[#This Row],[SKU]]=TBSuprimentos[[#This Row],[SKU]],TBEstoque[[#This Row],[CATEGÓRIA]]," ")</f>
        <v>Farmácia/Produção</v>
      </c>
      <c r="D57" s="20" t="str">
        <f>IF(TBSuprimentos[[#This Row],[SKU]]=TBEstoque[[#This Row],[SKU]],TBEstoque[[#This Row],[DESCRIÇÃO]]," ")</f>
        <v>SACO PLASTICO 10X15 (PCT)</v>
      </c>
      <c r="E57" s="20" t="str">
        <f>IF(TBSuprimentos[[#This Row],[SKU]]=TBEstoque[[#This Row],[SKU]],TBEstoque[[#This Row],[UNID. MEDIDA]]," ")</f>
        <v>Kg</v>
      </c>
      <c r="F57" s="31">
        <f>_xlfn.XLOOKUP(TBSuprimentos[[#This Row],[SKU]], TBEstoque[SKU], TBEstoque[ESTOQUE ATUAL], 0) - SUMIF(TBConsumo[SKU], TBSuprimentos[[#This Row],[SKU]], TBConsumo[QTDE SOLICITADA])</f>
        <v>85</v>
      </c>
      <c r="G57" s="31">
        <f>VLOOKUP(TBSuprimentos[[#This Row],[DESCRIÇÃO]],TBEstoque[[DESCRIÇÃO]:[CONSUMO MÉDIO MENSAL]],4,0)</f>
        <v>30</v>
      </c>
      <c r="H57" s="40" t="str">
        <f t="shared" si="0"/>
        <v>EXCESSO</v>
      </c>
      <c r="I57" s="41">
        <v>20</v>
      </c>
      <c r="J57" s="22" t="s">
        <v>196</v>
      </c>
      <c r="K57" s="31" t="str">
        <f t="shared" si="1"/>
        <v>---</v>
      </c>
      <c r="L57" s="24" t="str">
        <f>IF(OR(H57="COMPRA IMEDIATA", H57="RUPTURA"), IF(K57="---", 0, _xlfn.XLOOKUP(B57, TBEstoque[SKU], TBEstoque[VALOR UNIT. (R$)]) * VALUE(LEFT(K57, SEARCH(" ", K57)-1))), "---")</f>
        <v>---</v>
      </c>
      <c r="M57" s="18">
        <v>46097</v>
      </c>
      <c r="N57" s="19">
        <v>15</v>
      </c>
      <c r="O57" s="18" t="str">
        <f>IF(OR(H57="COMPRA IMEDIATA", H57="RUPTURA"), WORKDAY(M57,N57,Feriados!$A$3:$A$19),"---")</f>
        <v>---</v>
      </c>
      <c r="P57" s="31"/>
      <c r="Q57" s="20" t="str">
        <f>IFERROR(_xlfn.LET(_xlpm.f, _xlfn.XLOOKUP(D57, TBEstoque[DESCRIÇÃO], TBEstoque[FORNECEDOR], "---"), IF(_xlpm.f=0, "---", _xlpm.f)), "---")</f>
        <v>FORNECEDOR 03</v>
      </c>
    </row>
    <row r="58" spans="2:17">
      <c r="B58" s="17">
        <f>TBEstoque[[#This Row],[SKU]]</f>
        <v>20886</v>
      </c>
      <c r="C58" s="20" t="str">
        <f>IF(TBEstoque[[#This Row],[SKU]]=TBSuprimentos[[#This Row],[SKU]],TBEstoque[[#This Row],[CATEGÓRIA]]," ")</f>
        <v>Farmácia/Produção</v>
      </c>
      <c r="D58" s="20" t="str">
        <f>IF(TBSuprimentos[[#This Row],[SKU]]=TBEstoque[[#This Row],[SKU]],TBEstoque[[#This Row],[DESCRIÇÃO]]," ")</f>
        <v>SACO PLASTICO 15X25 (PCT)</v>
      </c>
      <c r="E58" s="20" t="str">
        <f>IF(TBSuprimentos[[#This Row],[SKU]]=TBEstoque[[#This Row],[SKU]],TBEstoque[[#This Row],[UNID. MEDIDA]]," ")</f>
        <v>Kg</v>
      </c>
      <c r="F58" s="31">
        <f>_xlfn.XLOOKUP(TBSuprimentos[[#This Row],[SKU]], TBEstoque[SKU], TBEstoque[ESTOQUE ATUAL], 0) - SUMIF(TBConsumo[SKU], TBSuprimentos[[#This Row],[SKU]], TBConsumo[QTDE SOLICITADA])</f>
        <v>60</v>
      </c>
      <c r="G58" s="31">
        <f>VLOOKUP(TBSuprimentos[[#This Row],[DESCRIÇÃO]],TBEstoque[[DESCRIÇÃO]:[CONSUMO MÉDIO MENSAL]],4,0)</f>
        <v>20</v>
      </c>
      <c r="H58" s="40" t="str">
        <f t="shared" si="0"/>
        <v>EXCESSO</v>
      </c>
      <c r="I58" s="41">
        <v>20</v>
      </c>
      <c r="J58" s="22" t="s">
        <v>196</v>
      </c>
      <c r="K58" s="31" t="str">
        <f t="shared" si="1"/>
        <v>---</v>
      </c>
      <c r="L58" s="24" t="str">
        <f>IF(OR(H58="COMPRA IMEDIATA", H58="RUPTURA"), IF(K58="---", 0, _xlfn.XLOOKUP(B58, TBEstoque[SKU], TBEstoque[VALOR UNIT. (R$)]) * VALUE(LEFT(K58, SEARCH(" ", K58)-1))), "---")</f>
        <v>---</v>
      </c>
      <c r="M58" s="18">
        <v>46097</v>
      </c>
      <c r="N58" s="19">
        <v>15</v>
      </c>
      <c r="O58" s="18" t="str">
        <f>IF(OR(H58="COMPRA IMEDIATA", H58="RUPTURA"), WORKDAY(M58,N58,Feriados!$A$3:$A$19),"---")</f>
        <v>---</v>
      </c>
      <c r="P58" s="31"/>
      <c r="Q58" s="20" t="str">
        <f>IFERROR(_xlfn.LET(_xlpm.f, _xlfn.XLOOKUP(D58, TBEstoque[DESCRIÇÃO], TBEstoque[FORNECEDOR], "---"), IF(_xlpm.f=0, "---", _xlpm.f)), "---")</f>
        <v>FORNECEDOR 03</v>
      </c>
    </row>
    <row r="59" spans="2:17">
      <c r="B59" s="17">
        <f>TBEstoque[[#This Row],[SKU]]</f>
        <v>20887</v>
      </c>
      <c r="C59" s="20" t="str">
        <f>IF(TBEstoque[[#This Row],[SKU]]=TBSuprimentos[[#This Row],[SKU]],TBEstoque[[#This Row],[CATEGÓRIA]]," ")</f>
        <v>Farmácia/Produção</v>
      </c>
      <c r="D59" s="20" t="str">
        <f>IF(TBSuprimentos[[#This Row],[SKU]]=TBEstoque[[#This Row],[SKU]],TBEstoque[[#This Row],[DESCRIÇÃO]]," ")</f>
        <v>SACO PLASTICO 20X30 (PCT)</v>
      </c>
      <c r="E59" s="20" t="str">
        <f>IF(TBSuprimentos[[#This Row],[SKU]]=TBEstoque[[#This Row],[SKU]],TBEstoque[[#This Row],[UNID. MEDIDA]]," ")</f>
        <v>Kg</v>
      </c>
      <c r="F59" s="31">
        <f>_xlfn.XLOOKUP(TBSuprimentos[[#This Row],[SKU]], TBEstoque[SKU], TBEstoque[ESTOQUE ATUAL], 0) - SUMIF(TBConsumo[SKU], TBSuprimentos[[#This Row],[SKU]], TBConsumo[QTDE SOLICITADA])</f>
        <v>60</v>
      </c>
      <c r="G59" s="31">
        <f>VLOOKUP(TBSuprimentos[[#This Row],[DESCRIÇÃO]],TBEstoque[[DESCRIÇÃO]:[CONSUMO MÉDIO MENSAL]],4,0)</f>
        <v>15</v>
      </c>
      <c r="H59" s="40" t="str">
        <f t="shared" si="0"/>
        <v>EXCESSO</v>
      </c>
      <c r="I59" s="41">
        <v>20</v>
      </c>
      <c r="J59" s="22" t="s">
        <v>196</v>
      </c>
      <c r="K59" s="31" t="str">
        <f t="shared" si="1"/>
        <v>---</v>
      </c>
      <c r="L59" s="24" t="str">
        <f>IF(OR(H59="COMPRA IMEDIATA", H59="RUPTURA"), IF(K59="---", 0, _xlfn.XLOOKUP(B59, TBEstoque[SKU], TBEstoque[VALOR UNIT. (R$)]) * VALUE(LEFT(K59, SEARCH(" ", K59)-1))), "---")</f>
        <v>---</v>
      </c>
      <c r="M59" s="18">
        <v>46097</v>
      </c>
      <c r="N59" s="19">
        <v>15</v>
      </c>
      <c r="O59" s="18" t="str">
        <f>IF(OR(H59="COMPRA IMEDIATA", H59="RUPTURA"), WORKDAY(M59,N59,Feriados!$A$3:$A$19),"---")</f>
        <v>---</v>
      </c>
      <c r="P59" s="31"/>
      <c r="Q59" s="20" t="str">
        <f>IFERROR(_xlfn.LET(_xlpm.f, _xlfn.XLOOKUP(D59, TBEstoque[DESCRIÇÃO], TBEstoque[FORNECEDOR], "---"), IF(_xlpm.f=0, "---", _xlpm.f)), "---")</f>
        <v>FORNECEDOR 03</v>
      </c>
    </row>
    <row r="60" spans="2:17">
      <c r="B60" s="17">
        <f>TBEstoque[[#This Row],[SKU]]</f>
        <v>20888</v>
      </c>
      <c r="C60" s="20" t="str">
        <f>IF(TBEstoque[[#This Row],[SKU]]=TBSuprimentos[[#This Row],[SKU]],TBEstoque[[#This Row],[CATEGÓRIA]]," ")</f>
        <v>Farmácia/Produção</v>
      </c>
      <c r="D60" s="20" t="str">
        <f>IF(TBSuprimentos[[#This Row],[SKU]]=TBEstoque[[#This Row],[SKU]],TBEstoque[[#This Row],[DESCRIÇÃO]]," ")</f>
        <v>SACO PLASTICO 30X40 (PCT)</v>
      </c>
      <c r="E60" s="20" t="str">
        <f>IF(TBSuprimentos[[#This Row],[SKU]]=TBEstoque[[#This Row],[SKU]],TBEstoque[[#This Row],[UNID. MEDIDA]]," ")</f>
        <v>Kg</v>
      </c>
      <c r="F60" s="31">
        <f>_xlfn.XLOOKUP(TBSuprimentos[[#This Row],[SKU]], TBEstoque[SKU], TBEstoque[ESTOQUE ATUAL], 0) - SUMIF(TBConsumo[SKU], TBSuprimentos[[#This Row],[SKU]], TBConsumo[QTDE SOLICITADA])</f>
        <v>55</v>
      </c>
      <c r="G60" s="31">
        <f>VLOOKUP(TBSuprimentos[[#This Row],[DESCRIÇÃO]],TBEstoque[[DESCRIÇÃO]:[CONSUMO MÉDIO MENSAL]],4,0)</f>
        <v>10</v>
      </c>
      <c r="H60" s="40" t="str">
        <f t="shared" si="0"/>
        <v>EXCESSO</v>
      </c>
      <c r="I60" s="41">
        <v>20</v>
      </c>
      <c r="J60" s="22" t="s">
        <v>196</v>
      </c>
      <c r="K60" s="31" t="str">
        <f t="shared" si="1"/>
        <v>---</v>
      </c>
      <c r="L60" s="24" t="str">
        <f>IF(OR(H60="COMPRA IMEDIATA", H60="RUPTURA"), IF(K60="---", 0, _xlfn.XLOOKUP(B60, TBEstoque[SKU], TBEstoque[VALOR UNIT. (R$)]) * VALUE(LEFT(K60, SEARCH(" ", K60)-1))), "---")</f>
        <v>---</v>
      </c>
      <c r="M60" s="18">
        <v>46097</v>
      </c>
      <c r="N60" s="19">
        <v>15</v>
      </c>
      <c r="O60" s="18" t="str">
        <f>IF(OR(H60="COMPRA IMEDIATA", H60="RUPTURA"), WORKDAY(M60,N60,Feriados!$A$3:$A$19),"---")</f>
        <v>---</v>
      </c>
      <c r="P60" s="31"/>
      <c r="Q60" s="20" t="str">
        <f>IFERROR(_xlfn.LET(_xlpm.f, _xlfn.XLOOKUP(D60, TBEstoque[DESCRIÇÃO], TBEstoque[FORNECEDOR], "---"), IF(_xlpm.f=0, "---", _xlpm.f)), "---")</f>
        <v>FORNECEDOR 03</v>
      </c>
    </row>
    <row r="61" spans="2:17">
      <c r="B61" s="17">
        <f>TBEstoque[[#This Row],[SKU]]</f>
        <v>20913</v>
      </c>
      <c r="C61" s="20" t="str">
        <f>IF(TBEstoque[[#This Row],[SKU]]=TBSuprimentos[[#This Row],[SKU]],TBEstoque[[#This Row],[CATEGÓRIA]]," ")</f>
        <v>Farmácia/Produção</v>
      </c>
      <c r="D61" s="20" t="str">
        <f>IF(TBSuprimentos[[#This Row],[SKU]]=TBEstoque[[#This Row],[SKU]],TBEstoque[[#This Row],[DESCRIÇÃO]]," ")</f>
        <v>SACOLA G 40X55 + 10CMX0,15MM (SOPLAST)</v>
      </c>
      <c r="E61" s="20" t="str">
        <f>IF(TBSuprimentos[[#This Row],[SKU]]=TBEstoque[[#This Row],[SKU]],TBEstoque[[#This Row],[UNID. MEDIDA]]," ")</f>
        <v>Unid</v>
      </c>
      <c r="F61" s="31">
        <f>_xlfn.XLOOKUP(TBSuprimentos[[#This Row],[SKU]], TBEstoque[SKU], TBEstoque[ESTOQUE ATUAL], 0) - SUMIF(TBConsumo[SKU], TBSuprimentos[[#This Row],[SKU]], TBConsumo[QTDE SOLICITADA])</f>
        <v>250</v>
      </c>
      <c r="G61" s="31">
        <f>VLOOKUP(TBSuprimentos[[#This Row],[DESCRIÇÃO]],TBEstoque[[DESCRIÇÃO]:[CONSUMO MÉDIO MENSAL]],4,0)</f>
        <v>100</v>
      </c>
      <c r="H61" s="40" t="str">
        <f t="shared" si="0"/>
        <v>EXCESSO</v>
      </c>
      <c r="I61" s="41">
        <v>500</v>
      </c>
      <c r="J61" s="22" t="s">
        <v>196</v>
      </c>
      <c r="K61" s="31" t="str">
        <f t="shared" si="1"/>
        <v>---</v>
      </c>
      <c r="L61" s="24" t="str">
        <f>IF(OR(H61="COMPRA IMEDIATA", H61="RUPTURA"), IF(K61="---", 0, _xlfn.XLOOKUP(B61, TBEstoque[SKU], TBEstoque[VALOR UNIT. (R$)]) * VALUE(LEFT(K61, SEARCH(" ", K61)-1))), "---")</f>
        <v>---</v>
      </c>
      <c r="M61" s="18">
        <v>46097</v>
      </c>
      <c r="N61" s="19">
        <v>30</v>
      </c>
      <c r="O61" s="18" t="str">
        <f>IF(OR(H61="COMPRA IMEDIATA", H61="RUPTURA"), WORKDAY(M61,N61,Feriados!$A$3:$A$19),"---")</f>
        <v>---</v>
      </c>
      <c r="P61" s="31"/>
      <c r="Q61" s="20" t="str">
        <f>IFERROR(_xlfn.LET(_xlpm.f, _xlfn.XLOOKUP(D61, TBEstoque[DESCRIÇÃO], TBEstoque[FORNECEDOR], "---"), IF(_xlpm.f=0, "---", _xlpm.f)), "---")</f>
        <v>FORNECEDOR 03</v>
      </c>
    </row>
    <row r="62" spans="2:17">
      <c r="B62" s="17">
        <f>TBEstoque[[#This Row],[SKU]]</f>
        <v>20914</v>
      </c>
      <c r="C62" s="20" t="str">
        <f>IF(TBEstoque[[#This Row],[SKU]]=TBSuprimentos[[#This Row],[SKU]],TBEstoque[[#This Row],[CATEGÓRIA]]," ")</f>
        <v>Farmácia/Produção</v>
      </c>
      <c r="D62" s="20" t="str">
        <f>IF(TBSuprimentos[[#This Row],[SKU]]=TBEstoque[[#This Row],[SKU]],TBEstoque[[#This Row],[DESCRIÇÃO]]," ")</f>
        <v>SACOLA P 17,5X25 + 3CMX0,13MM (SOPLAST)</v>
      </c>
      <c r="E62" s="20" t="str">
        <f>IF(TBSuprimentos[[#This Row],[SKU]]=TBEstoque[[#This Row],[SKU]],TBEstoque[[#This Row],[UNID. MEDIDA]]," ")</f>
        <v>Unid</v>
      </c>
      <c r="F62" s="31">
        <f>_xlfn.XLOOKUP(TBSuprimentos[[#This Row],[SKU]], TBEstoque[SKU], TBEstoque[ESTOQUE ATUAL], 0) - SUMIF(TBConsumo[SKU], TBSuprimentos[[#This Row],[SKU]], TBConsumo[QTDE SOLICITADA])</f>
        <v>200</v>
      </c>
      <c r="G62" s="31">
        <f>VLOOKUP(TBSuprimentos[[#This Row],[DESCRIÇÃO]],TBEstoque[[DESCRIÇÃO]:[CONSUMO MÉDIO MENSAL]],4,0)</f>
        <v>75</v>
      </c>
      <c r="H62" s="40" t="str">
        <f t="shared" si="0"/>
        <v>EXCESSO</v>
      </c>
      <c r="I62" s="41">
        <v>500</v>
      </c>
      <c r="J62" s="22" t="s">
        <v>196</v>
      </c>
      <c r="K62" s="31" t="str">
        <f t="shared" si="1"/>
        <v>---</v>
      </c>
      <c r="L62" s="24" t="str">
        <f>IF(OR(H62="COMPRA IMEDIATA", H62="RUPTURA"), IF(K62="---", 0, _xlfn.XLOOKUP(B62, TBEstoque[SKU], TBEstoque[VALOR UNIT. (R$)]) * VALUE(LEFT(K62, SEARCH(" ", K62)-1))), "---")</f>
        <v>---</v>
      </c>
      <c r="M62" s="18">
        <v>46097</v>
      </c>
      <c r="N62" s="19">
        <v>30</v>
      </c>
      <c r="O62" s="18" t="str">
        <f>IF(OR(H62="COMPRA IMEDIATA", H62="RUPTURA"), WORKDAY(M62,N62,Feriados!$A$3:$A$19),"---")</f>
        <v>---</v>
      </c>
      <c r="P62" s="31"/>
      <c r="Q62" s="20" t="str">
        <f>IFERROR(_xlfn.LET(_xlpm.f, _xlfn.XLOOKUP(D62, TBEstoque[DESCRIÇÃO], TBEstoque[FORNECEDOR], "---"), IF(_xlpm.f=0, "---", _xlpm.f)), "---")</f>
        <v>FORNECEDOR 03</v>
      </c>
    </row>
    <row r="63" spans="2:17">
      <c r="B63" s="17">
        <f>TBEstoque[[#This Row],[SKU]]</f>
        <v>20903</v>
      </c>
      <c r="C63" s="20" t="str">
        <f>IF(TBEstoque[[#This Row],[SKU]]=TBSuprimentos[[#This Row],[SKU]],TBEstoque[[#This Row],[CATEGÓRIA]]," ")</f>
        <v>Farmácia/Produção</v>
      </c>
      <c r="D63" s="20" t="str">
        <f>IF(TBSuprimentos[[#This Row],[SKU]]=TBEstoque[[#This Row],[SKU]],TBEstoque[[#This Row],[DESCRIÇÃO]]," ")</f>
        <v>SONTARA (UNI)</v>
      </c>
      <c r="E63" s="20" t="str">
        <f>IF(TBSuprimentos[[#This Row],[SKU]]=TBEstoque[[#This Row],[SKU]],TBEstoque[[#This Row],[UNID. MEDIDA]]," ")</f>
        <v>Unid</v>
      </c>
      <c r="F63" s="31">
        <f>_xlfn.XLOOKUP(TBSuprimentos[[#This Row],[SKU]], TBEstoque[SKU], TBEstoque[ESTOQUE ATUAL], 0) - SUMIF(TBConsumo[SKU], TBSuprimentos[[#This Row],[SKU]], TBConsumo[QTDE SOLICITADA])</f>
        <v>178</v>
      </c>
      <c r="G63" s="31">
        <f>VLOOKUP(TBSuprimentos[[#This Row],[DESCRIÇÃO]],TBEstoque[[DESCRIÇÃO]:[CONSUMO MÉDIO MENSAL]],4,0)</f>
        <v>100</v>
      </c>
      <c r="H63" s="40" t="str">
        <f t="shared" si="0"/>
        <v>SAUDÁVEL</v>
      </c>
      <c r="I63" s="41">
        <v>1</v>
      </c>
      <c r="J63" s="22" t="s">
        <v>186</v>
      </c>
      <c r="K63" s="31" t="str">
        <f t="shared" si="1"/>
        <v>---</v>
      </c>
      <c r="L63" s="24" t="str">
        <f>IF(OR(H63="COMPRA IMEDIATA", H63="RUPTURA"), IF(K63="---", 0, _xlfn.XLOOKUP(B63, TBEstoque[SKU], TBEstoque[VALOR UNIT. (R$)]) * VALUE(LEFT(K63, SEARCH(" ", K63)-1))), "---")</f>
        <v>---</v>
      </c>
      <c r="M63" s="18">
        <v>46097</v>
      </c>
      <c r="N63" s="19">
        <v>15</v>
      </c>
      <c r="O63" s="18" t="str">
        <f>IF(OR(H63="COMPRA IMEDIATA", H63="RUPTURA"), WORKDAY(M63,N63,Feriados!$A$3:$A$19),"---")</f>
        <v>---</v>
      </c>
      <c r="P63" s="31"/>
      <c r="Q63" s="20" t="str">
        <f>IFERROR(_xlfn.LET(_xlpm.f, _xlfn.XLOOKUP(D63, TBEstoque[DESCRIÇÃO], TBEstoque[FORNECEDOR], "---"), IF(_xlpm.f=0, "---", _xlpm.f)), "---")</f>
        <v>FORNECEDOR 03</v>
      </c>
    </row>
    <row r="64" spans="2:17">
      <c r="B64" s="17">
        <f>TBEstoque[[#This Row],[SKU]]</f>
        <v>20904</v>
      </c>
      <c r="C64" s="20" t="str">
        <f>IF(TBEstoque[[#This Row],[SKU]]=TBSuprimentos[[#This Row],[SKU]],TBEstoque[[#This Row],[CATEGÓRIA]]," ")</f>
        <v>Farmácia/Produção</v>
      </c>
      <c r="D64" s="20" t="str">
        <f>IF(TBSuprimentos[[#This Row],[SKU]]=TBEstoque[[#This Row],[SKU]],TBEstoque[[#This Row],[DESCRIÇÃO]]," ")</f>
        <v>TOUCA SANFONADA BRANCO DESCARTÁVEL (PCT C/100)</v>
      </c>
      <c r="E64" s="20" t="str">
        <f>IF(TBSuprimentos[[#This Row],[SKU]]=TBEstoque[[#This Row],[SKU]],TBEstoque[[#This Row],[UNID. MEDIDA]]," ")</f>
        <v>Pct</v>
      </c>
      <c r="F64" s="31">
        <f>_xlfn.XLOOKUP(TBSuprimentos[[#This Row],[SKU]], TBEstoque[SKU], TBEstoque[ESTOQUE ATUAL], 0) - SUMIF(TBConsumo[SKU], TBSuprimentos[[#This Row],[SKU]], TBConsumo[QTDE SOLICITADA])</f>
        <v>271</v>
      </c>
      <c r="G64" s="31">
        <f>VLOOKUP(TBSuprimentos[[#This Row],[DESCRIÇÃO]],TBEstoque[[DESCRIÇÃO]:[CONSUMO MÉDIO MENSAL]],4,0)</f>
        <v>50</v>
      </c>
      <c r="H64" s="40" t="str">
        <f t="shared" si="0"/>
        <v>EXCESSO</v>
      </c>
      <c r="I64" s="20">
        <v>25</v>
      </c>
      <c r="J64" s="22" t="s">
        <v>196</v>
      </c>
      <c r="K64" s="31" t="str">
        <f t="shared" si="1"/>
        <v>---</v>
      </c>
      <c r="L64" s="24" t="str">
        <f>IF(OR(H64="COMPRA IMEDIATA", H64="RUPTURA"), IF(K64="---", 0, _xlfn.XLOOKUP(B64, TBEstoque[SKU], TBEstoque[VALOR UNIT. (R$)]) * VALUE(LEFT(K64, SEARCH(" ", K64)-1))), "---")</f>
        <v>---</v>
      </c>
      <c r="M64" s="18">
        <v>46097</v>
      </c>
      <c r="N64" s="19">
        <v>15</v>
      </c>
      <c r="O64" s="18" t="str">
        <f>IF(OR(H64="COMPRA IMEDIATA", H64="RUPTURA"), WORKDAY(M64,N64,Feriados!$A$3:$A$19),"---")</f>
        <v>---</v>
      </c>
      <c r="P64" s="31"/>
      <c r="Q64" s="20" t="str">
        <f>IFERROR(_xlfn.LET(_xlpm.f, _xlfn.XLOOKUP(D64, TBEstoque[DESCRIÇÃO], TBEstoque[FORNECEDOR], "---"), IF(_xlpm.f=0, "---", _xlpm.f)), "---")</f>
        <v>FORNECEDOR 03</v>
      </c>
    </row>
    <row r="65" spans="2:17">
      <c r="B65" s="20">
        <f>TBEstoque[[#This Row],[SKU]]</f>
        <v>20915</v>
      </c>
      <c r="C65" s="20" t="str">
        <f>IF(TBEstoque[[#This Row],[SKU]]=TBSuprimentos[[#This Row],[SKU]],TBEstoque[[#This Row],[CATEGÓRIA]]," ")</f>
        <v>Farmácia/Produção</v>
      </c>
      <c r="D65" s="20" t="str">
        <f>IF(TBSuprimentos[[#This Row],[SKU]]=TBEstoque[[#This Row],[SKU]],TBEstoque[[#This Row],[DESCRIÇÃO]]," ")</f>
        <v>SACO PLASTICO 40X60 (PCT)</v>
      </c>
      <c r="E65" s="20" t="str">
        <f>IF(TBSuprimentos[[#This Row],[SKU]]=TBEstoque[[#This Row],[SKU]],TBEstoque[[#This Row],[UNID. MEDIDA]]," ")</f>
        <v>Kg</v>
      </c>
      <c r="F65" s="31">
        <f>_xlfn.XLOOKUP(TBSuprimentos[[#This Row],[SKU]], TBEstoque[SKU], TBEstoque[ESTOQUE ATUAL], 0) - SUMIF(TBConsumo[SKU], TBSuprimentos[[#This Row],[SKU]], TBConsumo[QTDE SOLICITADA])</f>
        <v>70</v>
      </c>
      <c r="G65" s="31">
        <f>VLOOKUP(TBSuprimentos[[#This Row],[DESCRIÇÃO]],TBEstoque[[DESCRIÇÃO]:[CONSUMO MÉDIO MENSAL]],4,0)</f>
        <v>20</v>
      </c>
      <c r="H65" s="40" t="str">
        <f t="shared" si="0"/>
        <v>EXCESSO</v>
      </c>
      <c r="I65" s="20">
        <v>1</v>
      </c>
      <c r="J65" s="22" t="s">
        <v>185</v>
      </c>
      <c r="K65" s="31" t="str">
        <f t="shared" si="1"/>
        <v>---</v>
      </c>
      <c r="L65" s="24" t="str">
        <f>IF(OR(H65="COMPRA IMEDIATA", H65="RUPTURA"), IF(K65="---", 0, _xlfn.XLOOKUP(B65, TBEstoque[SKU], TBEstoque[VALOR UNIT. (R$)]) * VALUE(LEFT(K65, SEARCH(" ", K65)-1))), "---")</f>
        <v>---</v>
      </c>
      <c r="M65" s="18">
        <v>46097</v>
      </c>
      <c r="N65" s="19">
        <v>15</v>
      </c>
      <c r="O65" s="18" t="str">
        <f>IF(OR(H65="COMPRA IMEDIATA", H65="RUPTURA"), WORKDAY(M65,N65,Feriados!$A$3:$A$19),"---")</f>
        <v>---</v>
      </c>
      <c r="P65" s="31"/>
      <c r="Q65" s="20" t="str">
        <f>IFERROR(_xlfn.LET(_xlpm.f, _xlfn.XLOOKUP(D65, TBEstoque[DESCRIÇÃO], TBEstoque[FORNECEDOR], "---"), IF(_xlpm.f=0, "---", _xlpm.f)), "---")</f>
        <v>FORNECEDOR 03</v>
      </c>
    </row>
    <row r="66" spans="2:17">
      <c r="B66" s="17">
        <f>TBEstoque[[#This Row],[SKU]]</f>
        <v>20916</v>
      </c>
      <c r="C66" s="20" t="str">
        <f>IF(TBEstoque[[#This Row],[SKU]]=TBSuprimentos[[#This Row],[SKU]],TBEstoque[[#This Row],[CATEGÓRIA]]," ")</f>
        <v>Farmácia/Produção</v>
      </c>
      <c r="D66" s="20" t="str">
        <f>IF(TBSuprimentos[[#This Row],[SKU]]=TBEstoque[[#This Row],[SKU]],TBEstoque[[#This Row],[DESCRIÇÃO]]," ")</f>
        <v>ETIQUETA 50X50 PARA SACHÊ</v>
      </c>
      <c r="E66" s="20" t="str">
        <f>IF(TBSuprimentos[[#This Row],[SKU]]=TBEstoque[[#This Row],[SKU]],TBEstoque[[#This Row],[UNID. MEDIDA]]," ")</f>
        <v>Unid</v>
      </c>
      <c r="F66" s="31">
        <f>_xlfn.XLOOKUP(TBSuprimentos[[#This Row],[SKU]], TBEstoque[SKU], TBEstoque[ESTOQUE ATUAL], 0) - SUMIF(TBConsumo[SKU], TBSuprimentos[[#This Row],[SKU]], TBConsumo[QTDE SOLICITADA])</f>
        <v>115</v>
      </c>
      <c r="G66" s="31">
        <f>VLOOKUP(TBSuprimentos[[#This Row],[DESCRIÇÃO]],TBEstoque[[DESCRIÇÃO]:[CONSUMO MÉDIO MENSAL]],4,0)</f>
        <v>10</v>
      </c>
      <c r="H66" s="40" t="str">
        <f t="shared" si="0"/>
        <v>EXCESSO</v>
      </c>
      <c r="I66" s="20">
        <v>10</v>
      </c>
      <c r="J66" s="22" t="s">
        <v>183</v>
      </c>
      <c r="K66" s="31" t="str">
        <f t="shared" si="1"/>
        <v>---</v>
      </c>
      <c r="L66" s="24" t="str">
        <f>IF(OR(H66="COMPRA IMEDIATA", H66="RUPTURA"), IF(K66="---", 0, _xlfn.XLOOKUP(B66, TBEstoque[SKU], TBEstoque[VALOR UNIT. (R$)]) * VALUE(LEFT(K66, SEARCH(" ", K66)-1))), "---")</f>
        <v>---</v>
      </c>
      <c r="M66" s="18">
        <v>46097</v>
      </c>
      <c r="N66" s="19">
        <v>15</v>
      </c>
      <c r="O66" s="18" t="str">
        <f>IF(OR(H66="COMPRA IMEDIATA", H66="RUPTURA"), WORKDAY(M66,N66,Feriados!$A$3:$A$19),"---")</f>
        <v>---</v>
      </c>
      <c r="P66" s="31"/>
      <c r="Q66" s="20" t="str">
        <f>IFERROR(_xlfn.LET(_xlpm.f, _xlfn.XLOOKUP(D66, TBEstoque[DESCRIÇÃO], TBEstoque[FORNECEDOR], "---"), IF(_xlpm.f=0, "---", _xlpm.f)), "---")</f>
        <v>FORNECEDOR 03</v>
      </c>
    </row>
    <row r="67" spans="2:17">
      <c r="B67" s="17">
        <f>TBEstoque[[#This Row],[SKU]]</f>
        <v>20917</v>
      </c>
      <c r="C67" s="20" t="str">
        <f>IF(TBEstoque[[#This Row],[SKU]]=TBSuprimentos[[#This Row],[SKU]],TBEstoque[[#This Row],[CATEGÓRIA]]," ")</f>
        <v>Farmácia/Produção</v>
      </c>
      <c r="D67" s="20" t="str">
        <f>IF(TBSuprimentos[[#This Row],[SKU]]=TBEstoque[[#This Row],[SKU]],TBEstoque[[#This Row],[DESCRIÇÃO]]," ")</f>
        <v>BULA OFICIALFARMA</v>
      </c>
      <c r="E67" s="20" t="str">
        <f>IF(TBSuprimentos[[#This Row],[SKU]]=TBEstoque[[#This Row],[SKU]],TBEstoque[[#This Row],[UNID. MEDIDA]]," ")</f>
        <v>Far</v>
      </c>
      <c r="F67" s="31">
        <f>_xlfn.XLOOKUP(TBSuprimentos[[#This Row],[SKU]], TBEstoque[SKU], TBEstoque[ESTOQUE ATUAL], 0) - SUMIF(TBConsumo[SKU], TBSuprimentos[[#This Row],[SKU]], TBConsumo[QTDE SOLICITADA])</f>
        <v>7</v>
      </c>
      <c r="G67" s="31">
        <f>VLOOKUP(TBSuprimentos[[#This Row],[DESCRIÇÃO]],TBEstoque[[DESCRIÇÃO]:[CONSUMO MÉDIO MENSAL]],4,0)</f>
        <v>2</v>
      </c>
      <c r="H67" s="40" t="str">
        <f t="shared" si="0"/>
        <v>EXCESSO</v>
      </c>
      <c r="I67" s="20">
        <v>20</v>
      </c>
      <c r="J67" s="22" t="s">
        <v>183</v>
      </c>
      <c r="K67" s="31" t="str">
        <f t="shared" si="1"/>
        <v>---</v>
      </c>
      <c r="L67" s="24" t="str">
        <f>IF(OR(H67="COMPRA IMEDIATA", H67="RUPTURA"), IF(K67="---", 0, _xlfn.XLOOKUP(B67, TBEstoque[SKU], TBEstoque[VALOR UNIT. (R$)]) * VALUE(LEFT(K67, SEARCH(" ", K67)-1))), "---")</f>
        <v>---</v>
      </c>
      <c r="M67" s="18">
        <v>46097</v>
      </c>
      <c r="N67" s="19">
        <v>5</v>
      </c>
      <c r="O67" s="18" t="str">
        <f>IF(OR(H67="COMPRA IMEDIATA", H67="RUPTURA"), WORKDAY(M67,N67,Feriados!$A$3:$A$19),"---")</f>
        <v>---</v>
      </c>
      <c r="P67" s="31"/>
      <c r="Q67" s="20" t="str">
        <f>IFERROR(_xlfn.LET(_xlpm.f, _xlfn.XLOOKUP(D67, TBEstoque[DESCRIÇÃO], TBEstoque[FORNECEDOR], "---"), IF(_xlpm.f=0, "---", _xlpm.f)), "---")</f>
        <v>FORNECEDOR 03</v>
      </c>
    </row>
    <row r="68" spans="2:17">
      <c r="B68" s="17">
        <f>TBEstoque[[#This Row],[SKU]]</f>
        <v>20918</v>
      </c>
      <c r="C68" s="20" t="str">
        <f>IF(TBEstoque[[#This Row],[SKU]]=TBSuprimentos[[#This Row],[SKU]],TBEstoque[[#This Row],[CATEGÓRIA]]," ")</f>
        <v>Farmácia/Produção</v>
      </c>
      <c r="D68" s="20" t="str">
        <f>IF(TBSuprimentos[[#This Row],[SKU]]=TBEstoque[[#This Row],[SKU]],TBEstoque[[#This Row],[DESCRIÇÃO]]," ")</f>
        <v>FRASCO DESCARTÁVEL Y</v>
      </c>
      <c r="E68" s="20" t="str">
        <f>IF(TBSuprimentos[[#This Row],[SKU]]=TBEstoque[[#This Row],[SKU]],TBEstoque[[#This Row],[UNID. MEDIDA]]," ")</f>
        <v>Cx</v>
      </c>
      <c r="F68" s="31">
        <f>_xlfn.XLOOKUP(TBSuprimentos[[#This Row],[SKU]], TBEstoque[SKU], TBEstoque[ESTOQUE ATUAL], 0) - SUMIF(TBConsumo[SKU], TBSuprimentos[[#This Row],[SKU]], TBConsumo[QTDE SOLICITADA])</f>
        <v>18</v>
      </c>
      <c r="G68" s="31">
        <f>VLOOKUP(TBSuprimentos[[#This Row],[DESCRIÇÃO]],TBEstoque[[DESCRIÇÃO]:[CONSUMO MÉDIO MENSAL]],4,0)</f>
        <v>5</v>
      </c>
      <c r="H68" s="40" t="str">
        <f t="shared" si="0"/>
        <v>EXCESSO</v>
      </c>
      <c r="I68" s="20">
        <v>3</v>
      </c>
      <c r="J68" s="22" t="s">
        <v>183</v>
      </c>
      <c r="K68" s="31" t="str">
        <f t="shared" si="1"/>
        <v>---</v>
      </c>
      <c r="L68" s="24" t="str">
        <f>IF(OR(H68="COMPRA IMEDIATA", H68="RUPTURA"), IF(K68="---", 0, _xlfn.XLOOKUP(B68, TBEstoque[SKU], TBEstoque[VALOR UNIT. (R$)]) * VALUE(LEFT(K68, SEARCH(" ", K68)-1))), "---")</f>
        <v>---</v>
      </c>
      <c r="M68" s="18">
        <v>46097</v>
      </c>
      <c r="N68" s="19">
        <v>15</v>
      </c>
      <c r="O68" s="18" t="str">
        <f>IF(OR(H68="COMPRA IMEDIATA", H68="RUPTURA"), WORKDAY(M68,N68,Feriados!$A$3:$A$19),"---")</f>
        <v>---</v>
      </c>
      <c r="P68" s="31"/>
      <c r="Q68" s="20" t="str">
        <f>IFERROR(_xlfn.LET(_xlpm.f, _xlfn.XLOOKUP(D68, TBEstoque[DESCRIÇÃO], TBEstoque[FORNECEDOR], "---"), IF(_xlpm.f=0, "---", _xlpm.f)), "---")</f>
        <v>FORNECEDOR 03</v>
      </c>
    </row>
    <row r="69" spans="2:17">
      <c r="B69" s="20">
        <f>TBEstoque[[#This Row],[SKU]]</f>
        <v>20845</v>
      </c>
      <c r="C69" s="20" t="str">
        <f>IF(TBEstoque[[#This Row],[SKU]]=TBSuprimentos[[#This Row],[SKU]],TBEstoque[[#This Row],[CATEGÓRIA]]," ")</f>
        <v>Geral</v>
      </c>
      <c r="D69" s="20" t="str">
        <f>IF(TBSuprimentos[[#This Row],[SKU]]=TBEstoque[[#This Row],[SKU]],TBEstoque[[#This Row],[DESCRIÇÃO]]," ")</f>
        <v>ABRAÇADEIRA DE NYLON PRETA (PCT C/100)</v>
      </c>
      <c r="E69" s="20" t="str">
        <f>IF(TBSuprimentos[[#This Row],[SKU]]=TBEstoque[[#This Row],[SKU]],TBEstoque[[#This Row],[UNID. MEDIDA]]," ")</f>
        <v>Pct</v>
      </c>
      <c r="F69" s="31">
        <f>_xlfn.XLOOKUP(TBSuprimentos[[#This Row],[SKU]], TBEstoque[SKU], TBEstoque[ESTOQUE ATUAL], 0) - SUMIF(TBConsumo[SKU], TBSuprimentos[[#This Row],[SKU]], TBConsumo[QTDE SOLICITADA])</f>
        <v>350</v>
      </c>
      <c r="G69" s="31">
        <f>VLOOKUP(TBSuprimentos[[#This Row],[DESCRIÇÃO]],TBEstoque[[DESCRIÇÃO]:[CONSUMO MÉDIO MENSAL]],4,0)</f>
        <v>50</v>
      </c>
      <c r="H69" s="40" t="str">
        <f t="shared" ref="H69:H104" si="2">IF(F69 &lt;= (G69/30)*20, "RUPTURA",
 IF(F69 &lt; G69, "COMPRA IMEDIATA",
 IF(F69 &gt; G69*2, "EXCESSO", "SAUDÁVEL")))</f>
        <v>EXCESSO</v>
      </c>
      <c r="I69" s="20">
        <v>1</v>
      </c>
      <c r="J69" s="22" t="s">
        <v>186</v>
      </c>
      <c r="K69" s="31" t="str">
        <f t="shared" si="1"/>
        <v>---</v>
      </c>
      <c r="L69" s="24" t="str">
        <f>IF(OR(H69="COMPRA IMEDIATA", H69="RUPTURA"), IF(K69="---", 0, _xlfn.XLOOKUP(B69, TBEstoque[SKU], TBEstoque[VALOR UNIT. (R$)]) * VALUE(LEFT(K69, SEARCH(" ", K69)-1))), "---")</f>
        <v>---</v>
      </c>
      <c r="M69" s="18">
        <v>46097</v>
      </c>
      <c r="N69" s="19">
        <v>15</v>
      </c>
      <c r="O69" s="18" t="str">
        <f>IF(OR(H69="COMPRA IMEDIATA", H69="RUPTURA"), WORKDAY(M69,N69,Feriados!$A$3:$A$19),"---")</f>
        <v>---</v>
      </c>
      <c r="P69" s="31"/>
      <c r="Q69" s="20" t="str">
        <f>IFERROR(_xlfn.LET(_xlpm.f, _xlfn.XLOOKUP(D69, TBEstoque[DESCRIÇÃO], TBEstoque[FORNECEDOR], "---"), IF(_xlpm.f=0, "---", _xlpm.f)), "---")</f>
        <v>FORNECEDOR 03</v>
      </c>
    </row>
    <row r="70" spans="2:17">
      <c r="B70" s="17">
        <f>TBEstoque[[#This Row],[SKU]]</f>
        <v>20810</v>
      </c>
      <c r="C70" s="20" t="str">
        <f>IF(TBEstoque[[#This Row],[SKU]]=TBSuprimentos[[#This Row],[SKU]],TBEstoque[[#This Row],[CATEGÓRIA]]," ")</f>
        <v>Geral</v>
      </c>
      <c r="D70" s="20" t="str">
        <f>IF(TBSuprimentos[[#This Row],[SKU]]=TBEstoque[[#This Row],[SKU]],TBEstoque[[#This Row],[DESCRIÇÃO]]," ")</f>
        <v>FOLHA DE SULFITE A4 PACOTE</v>
      </c>
      <c r="E70" s="20" t="str">
        <f>IF(TBSuprimentos[[#This Row],[SKU]]=TBEstoque[[#This Row],[SKU]],TBEstoque[[#This Row],[UNID. MEDIDA]]," ")</f>
        <v>Pct</v>
      </c>
      <c r="F70" s="31">
        <f>_xlfn.XLOOKUP(TBSuprimentos[[#This Row],[SKU]], TBEstoque[SKU], TBEstoque[ESTOQUE ATUAL], 0) - SUMIF(TBConsumo[SKU], TBSuprimentos[[#This Row],[SKU]], TBConsumo[QTDE SOLICITADA])</f>
        <v>5</v>
      </c>
      <c r="G70" s="31">
        <f>VLOOKUP(TBSuprimentos[[#This Row],[DESCRIÇÃO]],TBEstoque[[DESCRIÇÃO]:[CONSUMO MÉDIO MENSAL]],4,0)</f>
        <v>50</v>
      </c>
      <c r="H70" s="40" t="str">
        <f t="shared" si="2"/>
        <v>RUPTURA</v>
      </c>
      <c r="I70" s="20">
        <v>4</v>
      </c>
      <c r="J70" s="22" t="s">
        <v>183</v>
      </c>
      <c r="K70" s="31" t="str">
        <f t="shared" ref="K70:K104" si="3">IF(OR(H70="COMPRA IMEDIATA", H70="RUPTURA"), IF(ROUNDUP((MAX(IF(OR(C70="Copa",C70="Limpeza"), F70*2, F70*4), G70+F70) - F70) / I70, 0)&lt;=0, "---", ROUNDUP((MAX(IF(OR(C70="Copa",C70="Limpeza"), F70*2, F70*4), G70+F70) - F70) / I70, 0) * I70 &amp; " " &amp; E70), "---")</f>
        <v>52 Pct</v>
      </c>
      <c r="L70" s="24">
        <f>IF(OR(H70="COMPRA IMEDIATA", H70="RUPTURA"), IF(K70="---", 0, _xlfn.XLOOKUP(B70, TBEstoque[SKU], TBEstoque[VALOR UNIT. (R$)]) * VALUE(LEFT(K70, SEARCH(" ", K70)-1))), "---")</f>
        <v>1489.0199999999998</v>
      </c>
      <c r="M70" s="18">
        <v>46097</v>
      </c>
      <c r="N70" s="19">
        <v>15</v>
      </c>
      <c r="O70" s="18">
        <f>IF(OR(H70="COMPRA IMEDIATA", H70="RUPTURA"), WORKDAY(M70,N70,Feriados!$A$3:$A$19),"---")</f>
        <v>46119</v>
      </c>
      <c r="P70" s="31"/>
      <c r="Q70" s="20" t="str">
        <f>IFERROR(_xlfn.LET(_xlpm.f, _xlfn.XLOOKUP(D70, TBEstoque[DESCRIÇÃO], TBEstoque[FORNECEDOR], "---"), IF(_xlpm.f=0, "---", _xlpm.f)), "---")</f>
        <v>FORNECEDOR 03</v>
      </c>
    </row>
    <row r="71" spans="2:17">
      <c r="B71" s="17">
        <f>TBEstoque[[#This Row],[SKU]]</f>
        <v>20811</v>
      </c>
      <c r="C71" s="20" t="str">
        <f>IF(TBEstoque[[#This Row],[SKU]]=TBSuprimentos[[#This Row],[SKU]],TBEstoque[[#This Row],[CATEGÓRIA]]," ")</f>
        <v>Geral</v>
      </c>
      <c r="D71" s="20" t="str">
        <f>IF(TBSuprimentos[[#This Row],[SKU]]=TBEstoque[[#This Row],[SKU]],TBEstoque[[#This Row],[DESCRIÇÃO]]," ")</f>
        <v>FOLHA DE SULFITE A5 PACOTE</v>
      </c>
      <c r="E71" s="20" t="str">
        <f>IF(TBSuprimentos[[#This Row],[SKU]]=TBEstoque[[#This Row],[SKU]],TBEstoque[[#This Row],[UNID. MEDIDA]]," ")</f>
        <v>Pct</v>
      </c>
      <c r="F71" s="31">
        <f>_xlfn.XLOOKUP(TBSuprimentos[[#This Row],[SKU]], TBEstoque[SKU], TBEstoque[ESTOQUE ATUAL], 0) - SUMIF(TBConsumo[SKU], TBSuprimentos[[#This Row],[SKU]], TBConsumo[QTDE SOLICITADA])</f>
        <v>13</v>
      </c>
      <c r="G71" s="31">
        <f>VLOOKUP(TBSuprimentos[[#This Row],[DESCRIÇÃO]],TBEstoque[[DESCRIÇÃO]:[CONSUMO MÉDIO MENSAL]],4,0)</f>
        <v>75</v>
      </c>
      <c r="H71" s="40" t="str">
        <f t="shared" si="2"/>
        <v>RUPTURA</v>
      </c>
      <c r="I71" s="20">
        <v>4</v>
      </c>
      <c r="J71" s="22" t="s">
        <v>183</v>
      </c>
      <c r="K71" s="31" t="str">
        <f t="shared" si="3"/>
        <v>76 Pct</v>
      </c>
      <c r="L71" s="24">
        <f>IF(OR(H71="COMPRA IMEDIATA", H71="RUPTURA"), IF(K71="---", 0, _xlfn.XLOOKUP(B71, TBEstoque[SKU], TBEstoque[VALOR UNIT. (R$)]) * VALUE(LEFT(K71, SEARCH(" ", K71)-1))), "---")</f>
        <v>1088.1299999999999</v>
      </c>
      <c r="M71" s="18">
        <v>46097</v>
      </c>
      <c r="N71" s="19">
        <v>15</v>
      </c>
      <c r="O71" s="18">
        <f>IF(OR(H71="COMPRA IMEDIATA", H71="RUPTURA"), WORKDAY(M71,N71,Feriados!$A$3:$A$19),"---")</f>
        <v>46119</v>
      </c>
      <c r="P71" s="31"/>
      <c r="Q71" s="20" t="str">
        <f>IFERROR(_xlfn.LET(_xlpm.f, _xlfn.XLOOKUP(D71, TBEstoque[DESCRIÇÃO], TBEstoque[FORNECEDOR], "---"), IF(_xlpm.f=0, "---", _xlpm.f)), "---")</f>
        <v>FORNECEDOR 03</v>
      </c>
    </row>
    <row r="72" spans="2:17">
      <c r="B72" s="17">
        <f>TBEstoque[[#This Row],[SKU]]</f>
        <v>20847</v>
      </c>
      <c r="C72" s="20" t="str">
        <f>IF(TBEstoque[[#This Row],[SKU]]=TBSuprimentos[[#This Row],[SKU]],TBEstoque[[#This Row],[CATEGÓRIA]]," ")</f>
        <v>Limpeza</v>
      </c>
      <c r="D72" s="20" t="str">
        <f>IF(TBSuprimentos[[#This Row],[SKU]]=TBEstoque[[#This Row],[SKU]],TBEstoque[[#This Row],[DESCRIÇÃO]]," ")</f>
        <v>ÁGUA SANITARIA SUPER CANDIDA GALÃO 5 LTS</v>
      </c>
      <c r="E72" s="20" t="str">
        <f>IF(TBSuprimentos[[#This Row],[SKU]]=TBEstoque[[#This Row],[SKU]],TBEstoque[[#This Row],[UNID. MEDIDA]]," ")</f>
        <v>Gl</v>
      </c>
      <c r="F72" s="31">
        <f>_xlfn.XLOOKUP(TBSuprimentos[[#This Row],[SKU]], TBEstoque[SKU], TBEstoque[ESTOQUE ATUAL], 0) - SUMIF(TBConsumo[SKU], TBSuprimentos[[#This Row],[SKU]], TBConsumo[QTDE SOLICITADA])</f>
        <v>12</v>
      </c>
      <c r="G72" s="31">
        <f>VLOOKUP(TBSuprimentos[[#This Row],[DESCRIÇÃO]],TBEstoque[[DESCRIÇÃO]:[CONSUMO MÉDIO MENSAL]],4,0)</f>
        <v>15</v>
      </c>
      <c r="H72" s="40" t="str">
        <f t="shared" si="2"/>
        <v>COMPRA IMEDIATA</v>
      </c>
      <c r="I72" s="20">
        <v>4</v>
      </c>
      <c r="J72" s="22" t="s">
        <v>183</v>
      </c>
      <c r="K72" s="31" t="str">
        <f t="shared" si="3"/>
        <v>16 Gl</v>
      </c>
      <c r="L72" s="24">
        <f>IF(OR(H72="COMPRA IMEDIATA", H72="RUPTURA"), IF(K72="---", 0, _xlfn.XLOOKUP(B72, TBEstoque[SKU], TBEstoque[VALOR UNIT. (R$)]) * VALUE(LEFT(K72, SEARCH(" ", K72)-1))), "---")</f>
        <v>397.44</v>
      </c>
      <c r="M72" s="18">
        <v>46097</v>
      </c>
      <c r="N72" s="19">
        <v>15</v>
      </c>
      <c r="O72" s="18">
        <f>IF(OR(H72="COMPRA IMEDIATA", H72="RUPTURA"), WORKDAY(M72,N72,Feriados!$A$3:$A$19),"---")</f>
        <v>46119</v>
      </c>
      <c r="P72" s="31"/>
      <c r="Q72" s="20" t="str">
        <f>IFERROR(_xlfn.LET(_xlpm.f, _xlfn.XLOOKUP(D72, TBEstoque[DESCRIÇÃO], TBEstoque[FORNECEDOR], "---"), IF(_xlpm.f=0, "---", _xlpm.f)), "---")</f>
        <v>FORNECEDOR 03</v>
      </c>
    </row>
    <row r="73" spans="2:17">
      <c r="B73" s="17">
        <f>TBEstoque[[#This Row],[SKU]]</f>
        <v>926</v>
      </c>
      <c r="C73" s="20" t="str">
        <f>IF(TBEstoque[[#This Row],[SKU]]=TBSuprimentos[[#This Row],[SKU]],TBEstoque[[#This Row],[CATEGÓRIA]]," ")</f>
        <v>Limpeza</v>
      </c>
      <c r="D73" s="20" t="str">
        <f>IF(TBSuprimentos[[#This Row],[SKU]]=TBEstoque[[#This Row],[SKU]],TBEstoque[[#This Row],[DESCRIÇÃO]]," ")</f>
        <v>BOM AR</v>
      </c>
      <c r="E73" s="20" t="str">
        <f>IF(TBSuprimentos[[#This Row],[SKU]]=TBEstoque[[#This Row],[SKU]],TBEstoque[[#This Row],[UNID. MEDIDA]]," ")</f>
        <v>Unid</v>
      </c>
      <c r="F73" s="31">
        <f>_xlfn.XLOOKUP(TBSuprimentos[[#This Row],[SKU]], TBEstoque[SKU], TBEstoque[ESTOQUE ATUAL], 0) - SUMIF(TBConsumo[SKU], TBSuprimentos[[#This Row],[SKU]], TBConsumo[QTDE SOLICITADA])</f>
        <v>20</v>
      </c>
      <c r="G73" s="31">
        <f>VLOOKUP(TBSuprimentos[[#This Row],[DESCRIÇÃO]],TBEstoque[[DESCRIÇÃO]:[CONSUMO MÉDIO MENSAL]],4,0)</f>
        <v>15</v>
      </c>
      <c r="H73" s="40" t="str">
        <f t="shared" si="2"/>
        <v>SAUDÁVEL</v>
      </c>
      <c r="I73" s="20">
        <v>120</v>
      </c>
      <c r="J73" s="22" t="s">
        <v>183</v>
      </c>
      <c r="K73" s="31" t="str">
        <f t="shared" si="3"/>
        <v>---</v>
      </c>
      <c r="L73" s="24" t="str">
        <f>IF(OR(H73="COMPRA IMEDIATA", H73="RUPTURA"), IF(K73="---", 0, _xlfn.XLOOKUP(B73, TBEstoque[SKU], TBEstoque[VALOR UNIT. (R$)]) * VALUE(LEFT(K73, SEARCH(" ", K73)-1))), "---")</f>
        <v>---</v>
      </c>
      <c r="M73" s="18">
        <v>46097</v>
      </c>
      <c r="N73" s="19">
        <v>15</v>
      </c>
      <c r="O73" s="18" t="str">
        <f>IF(OR(H73="COMPRA IMEDIATA", H73="RUPTURA"), WORKDAY(M73,N73,Feriados!$A$3:$A$19),"---")</f>
        <v>---</v>
      </c>
      <c r="P73" s="31"/>
      <c r="Q73" s="20" t="str">
        <f>IFERROR(_xlfn.LET(_xlpm.f, _xlfn.XLOOKUP(D73, TBEstoque[DESCRIÇÃO], TBEstoque[FORNECEDOR], "---"), IF(_xlpm.f=0, "---", _xlpm.f)), "---")</f>
        <v>FORNECEDOR 03</v>
      </c>
    </row>
    <row r="74" spans="2:17">
      <c r="B74" s="17">
        <f>TBEstoque[[#This Row],[SKU]]</f>
        <v>20848</v>
      </c>
      <c r="C74" s="20" t="str">
        <f>IF(TBEstoque[[#This Row],[SKU]]=TBSuprimentos[[#This Row],[SKU]],TBEstoque[[#This Row],[CATEGÓRIA]]," ")</f>
        <v>Limpeza</v>
      </c>
      <c r="D74" s="20" t="str">
        <f>IF(TBSuprimentos[[#This Row],[SKU]]=TBEstoque[[#This Row],[SKU]],TBEstoque[[#This Row],[DESCRIÇÃO]]," ")</f>
        <v>DESINFETANTE FLORAL GALÃO 5 LTS</v>
      </c>
      <c r="E74" s="20" t="str">
        <f>IF(TBSuprimentos[[#This Row],[SKU]]=TBEstoque[[#This Row],[SKU]],TBEstoque[[#This Row],[UNID. MEDIDA]]," ")</f>
        <v>Gl</v>
      </c>
      <c r="F74" s="31">
        <f>_xlfn.XLOOKUP(TBSuprimentos[[#This Row],[SKU]], TBEstoque[SKU], TBEstoque[ESTOQUE ATUAL], 0) - SUMIF(TBConsumo[SKU], TBSuprimentos[[#This Row],[SKU]], TBConsumo[QTDE SOLICITADA])</f>
        <v>24</v>
      </c>
      <c r="G74" s="31">
        <f>VLOOKUP(TBSuprimentos[[#This Row],[DESCRIÇÃO]],TBEstoque[[DESCRIÇÃO]:[CONSUMO MÉDIO MENSAL]],4,0)</f>
        <v>30</v>
      </c>
      <c r="H74" s="40" t="str">
        <f t="shared" si="2"/>
        <v>COMPRA IMEDIATA</v>
      </c>
      <c r="I74" s="20">
        <v>5</v>
      </c>
      <c r="J74" s="22" t="s">
        <v>196</v>
      </c>
      <c r="K74" s="31" t="str">
        <f t="shared" si="3"/>
        <v>30 Gl</v>
      </c>
      <c r="L74" s="24">
        <f>IF(OR(H74="COMPRA IMEDIATA", H74="RUPTURA"), IF(K74="---", 0, _xlfn.XLOOKUP(B74, TBEstoque[SKU], TBEstoque[VALOR UNIT. (R$)]) * VALUE(LEFT(K74, SEARCH(" ", K74)-1))), "---")</f>
        <v>1467.9749999999997</v>
      </c>
      <c r="M74" s="18">
        <v>46097</v>
      </c>
      <c r="N74" s="19">
        <v>15</v>
      </c>
      <c r="O74" s="18">
        <f>IF(OR(H74="COMPRA IMEDIATA", H74="RUPTURA"), WORKDAY(M74,N74,Feriados!$A$3:$A$19),"---")</f>
        <v>46119</v>
      </c>
      <c r="P74" s="31"/>
      <c r="Q74" s="20" t="str">
        <f>IFERROR(_xlfn.LET(_xlpm.f, _xlfn.XLOOKUP(D74, TBEstoque[DESCRIÇÃO], TBEstoque[FORNECEDOR], "---"), IF(_xlpm.f=0, "---", _xlpm.f)), "---")</f>
        <v>FORNECEDOR 03</v>
      </c>
    </row>
    <row r="75" spans="2:17">
      <c r="B75" s="17">
        <f>TBEstoque[[#This Row],[SKU]]</f>
        <v>20849</v>
      </c>
      <c r="C75" s="20" t="str">
        <f>IF(TBEstoque[[#This Row],[SKU]]=TBSuprimentos[[#This Row],[SKU]],TBEstoque[[#This Row],[CATEGÓRIA]]," ")</f>
        <v>Limpeza</v>
      </c>
      <c r="D75" s="20" t="str">
        <f>IF(TBSuprimentos[[#This Row],[SKU]]=TBEstoque[[#This Row],[SKU]],TBEstoque[[#This Row],[DESCRIÇÃO]]," ")</f>
        <v>DESINFETANTE LAVANDA GALÃO 5 LTS</v>
      </c>
      <c r="E75" s="20" t="str">
        <f>IF(TBSuprimentos[[#This Row],[SKU]]=TBEstoque[[#This Row],[SKU]],TBEstoque[[#This Row],[UNID. MEDIDA]]," ")</f>
        <v>Gl</v>
      </c>
      <c r="F75" s="31">
        <f>_xlfn.XLOOKUP(TBSuprimentos[[#This Row],[SKU]], TBEstoque[SKU], TBEstoque[ESTOQUE ATUAL], 0) - SUMIF(TBConsumo[SKU], TBSuprimentos[[#This Row],[SKU]], TBConsumo[QTDE SOLICITADA])</f>
        <v>27</v>
      </c>
      <c r="G75" s="31">
        <f>VLOOKUP(TBSuprimentos[[#This Row],[DESCRIÇÃO]],TBEstoque[[DESCRIÇÃO]:[CONSUMO MÉDIO MENSAL]],4,0)</f>
        <v>10</v>
      </c>
      <c r="H75" s="40" t="str">
        <f t="shared" si="2"/>
        <v>EXCESSO</v>
      </c>
      <c r="I75" s="20">
        <v>10</v>
      </c>
      <c r="J75" s="22" t="s">
        <v>183</v>
      </c>
      <c r="K75" s="31" t="str">
        <f t="shared" si="3"/>
        <v>---</v>
      </c>
      <c r="L75" s="24" t="str">
        <f>IF(OR(H75="COMPRA IMEDIATA", H75="RUPTURA"), IF(K75="---", 0, _xlfn.XLOOKUP(B75, TBEstoque[SKU], TBEstoque[VALOR UNIT. (R$)]) * VALUE(LEFT(K75, SEARCH(" ", K75)-1))), "---")</f>
        <v>---</v>
      </c>
      <c r="M75" s="18">
        <v>46097</v>
      </c>
      <c r="N75" s="19">
        <v>15</v>
      </c>
      <c r="O75" s="18" t="str">
        <f>IF(OR(H75="COMPRA IMEDIATA", H75="RUPTURA"), WORKDAY(M75,N75,Feriados!$A$3:$A$19),"---")</f>
        <v>---</v>
      </c>
      <c r="P75" s="31"/>
      <c r="Q75" s="20" t="str">
        <f>IFERROR(_xlfn.LET(_xlpm.f, _xlfn.XLOOKUP(D75, TBEstoque[DESCRIÇÃO], TBEstoque[FORNECEDOR], "---"), IF(_xlpm.f=0, "---", _xlpm.f)), "---")</f>
        <v>FORNECEDOR 03</v>
      </c>
    </row>
    <row r="76" spans="2:17">
      <c r="B76" s="17">
        <f>TBEstoque[[#This Row],[SKU]]</f>
        <v>20850</v>
      </c>
      <c r="C76" s="20" t="str">
        <f>IF(TBEstoque[[#This Row],[SKU]]=TBSuprimentos[[#This Row],[SKU]],TBEstoque[[#This Row],[CATEGÓRIA]]," ")</f>
        <v>Limpeza</v>
      </c>
      <c r="D76" s="20" t="str">
        <f>IF(TBSuprimentos[[#This Row],[SKU]]=TBEstoque[[#This Row],[SKU]],TBEstoque[[#This Row],[DESCRIÇÃO]]," ")</f>
        <v>DETERGENTE LÍQUIDO YPÊ CLEAR GALÃO 5L</v>
      </c>
      <c r="E76" s="20" t="str">
        <f>IF(TBSuprimentos[[#This Row],[SKU]]=TBEstoque[[#This Row],[SKU]],TBEstoque[[#This Row],[UNID. MEDIDA]]," ")</f>
        <v>Gl</v>
      </c>
      <c r="F76" s="31">
        <f>_xlfn.XLOOKUP(TBSuprimentos[[#This Row],[SKU]], TBEstoque[SKU], TBEstoque[ESTOQUE ATUAL], 0) - SUMIF(TBConsumo[SKU], TBSuprimentos[[#This Row],[SKU]], TBConsumo[QTDE SOLICITADA])</f>
        <v>19</v>
      </c>
      <c r="G76" s="31">
        <f>VLOOKUP(TBSuprimentos[[#This Row],[DESCRIÇÃO]],TBEstoque[[DESCRIÇÃO]:[CONSUMO MÉDIO MENSAL]],4,0)</f>
        <v>15</v>
      </c>
      <c r="H76" s="40" t="str">
        <f t="shared" si="2"/>
        <v>SAUDÁVEL</v>
      </c>
      <c r="I76" s="20">
        <v>5</v>
      </c>
      <c r="J76" s="22" t="s">
        <v>196</v>
      </c>
      <c r="K76" s="31" t="str">
        <f t="shared" si="3"/>
        <v>---</v>
      </c>
      <c r="L76" s="24" t="str">
        <f>IF(OR(H76="COMPRA IMEDIATA", H76="RUPTURA"), IF(K76="---", 0, _xlfn.XLOOKUP(B76, TBEstoque[SKU], TBEstoque[VALOR UNIT. (R$)]) * VALUE(LEFT(K76, SEARCH(" ", K76)-1))), "---")</f>
        <v>---</v>
      </c>
      <c r="M76" s="18">
        <v>46097</v>
      </c>
      <c r="N76" s="19">
        <v>15</v>
      </c>
      <c r="O76" s="18" t="str">
        <f>IF(OR(H76="COMPRA IMEDIATA", H76="RUPTURA"), WORKDAY(M76,N76,Feriados!$A$3:$A$19),"---")</f>
        <v>---</v>
      </c>
      <c r="P76" s="31"/>
      <c r="Q76" s="20" t="str">
        <f>IFERROR(_xlfn.LET(_xlpm.f, _xlfn.XLOOKUP(D76, TBEstoque[DESCRIÇÃO], TBEstoque[FORNECEDOR], "---"), IF(_xlpm.f=0, "---", _xlpm.f)), "---")</f>
        <v>FORNECEDOR 03</v>
      </c>
    </row>
    <row r="77" spans="2:17">
      <c r="B77" s="17">
        <f>TBEstoque[[#This Row],[SKU]]</f>
        <v>20851</v>
      </c>
      <c r="C77" s="20" t="str">
        <f>IF(TBEstoque[[#This Row],[SKU]]=TBSuprimentos[[#This Row],[SKU]],TBEstoque[[#This Row],[CATEGÓRIA]]," ")</f>
        <v>Limpeza</v>
      </c>
      <c r="D77" s="20" t="str">
        <f>IF(TBSuprimentos[[#This Row],[SKU]]=TBEstoque[[#This Row],[SKU]],TBEstoque[[#This Row],[DESCRIÇÃO]]," ")</f>
        <v>ESPONJA DUPLA FACE 3M (UNI)</v>
      </c>
      <c r="E77" s="20" t="str">
        <f>IF(TBSuprimentos[[#This Row],[SKU]]=TBEstoque[[#This Row],[SKU]],TBEstoque[[#This Row],[UNID. MEDIDA]]," ")</f>
        <v>Unid</v>
      </c>
      <c r="F77" s="31">
        <f>_xlfn.XLOOKUP(TBSuprimentos[[#This Row],[SKU]], TBEstoque[SKU], TBEstoque[ESTOQUE ATUAL], 0) - SUMIF(TBConsumo[SKU], TBSuprimentos[[#This Row],[SKU]], TBConsumo[QTDE SOLICITADA])</f>
        <v>130</v>
      </c>
      <c r="G77" s="31">
        <f>VLOOKUP(TBSuprimentos[[#This Row],[DESCRIÇÃO]],TBEstoque[[DESCRIÇÃO]:[CONSUMO MÉDIO MENSAL]],4,0)</f>
        <v>120</v>
      </c>
      <c r="H77" s="40" t="str">
        <f t="shared" si="2"/>
        <v>SAUDÁVEL</v>
      </c>
      <c r="I77" s="20">
        <v>5</v>
      </c>
      <c r="J77" s="22" t="s">
        <v>196</v>
      </c>
      <c r="K77" s="31" t="str">
        <f t="shared" si="3"/>
        <v>---</v>
      </c>
      <c r="L77" s="24" t="str">
        <f>IF(OR(H77="COMPRA IMEDIATA", H77="RUPTURA"), IF(K77="---", 0, _xlfn.XLOOKUP(B77, TBEstoque[SKU], TBEstoque[VALOR UNIT. (R$)]) * VALUE(LEFT(K77, SEARCH(" ", K77)-1))), "---")</f>
        <v>---</v>
      </c>
      <c r="M77" s="18">
        <v>46097</v>
      </c>
      <c r="N77" s="19">
        <v>15</v>
      </c>
      <c r="O77" s="18" t="str">
        <f>IF(OR(H77="COMPRA IMEDIATA", H77="RUPTURA"), WORKDAY(M77,N77,Feriados!$A$3:$A$19),"---")</f>
        <v>---</v>
      </c>
      <c r="P77" s="31"/>
      <c r="Q77" s="20" t="str">
        <f>IFERROR(_xlfn.LET(_xlpm.f, _xlfn.XLOOKUP(D77, TBEstoque[DESCRIÇÃO], TBEstoque[FORNECEDOR], "---"), IF(_xlpm.f=0, "---", _xlpm.f)), "---")</f>
        <v>FORNECEDOR 03</v>
      </c>
    </row>
    <row r="78" spans="2:17">
      <c r="B78" s="17">
        <f>TBEstoque[[#This Row],[SKU]]</f>
        <v>20852</v>
      </c>
      <c r="C78" s="20" t="str">
        <f>IF(TBEstoque[[#This Row],[SKU]]=TBSuprimentos[[#This Row],[SKU]],TBEstoque[[#This Row],[CATEGÓRIA]]," ")</f>
        <v>Limpeza</v>
      </c>
      <c r="D78" s="20" t="str">
        <f>IF(TBSuprimentos[[#This Row],[SKU]]=TBEstoque[[#This Row],[SKU]],TBEstoque[[#This Row],[DESCRIÇÃO]]," ")</f>
        <v>FLANELA BRANCA (UNI)</v>
      </c>
      <c r="E78" s="20" t="str">
        <f>IF(TBSuprimentos[[#This Row],[SKU]]=TBEstoque[[#This Row],[SKU]],TBEstoque[[#This Row],[UNID. MEDIDA]]," ")</f>
        <v>Unid</v>
      </c>
      <c r="F78" s="31">
        <f>_xlfn.XLOOKUP(TBSuprimentos[[#This Row],[SKU]], TBEstoque[SKU], TBEstoque[ESTOQUE ATUAL], 0) - SUMIF(TBConsumo[SKU], TBSuprimentos[[#This Row],[SKU]], TBConsumo[QTDE SOLICITADA])</f>
        <v>60</v>
      </c>
      <c r="G78" s="31">
        <f>VLOOKUP(TBSuprimentos[[#This Row],[DESCRIÇÃO]],TBEstoque[[DESCRIÇÃO]:[CONSUMO MÉDIO MENSAL]],4,0)</f>
        <v>50</v>
      </c>
      <c r="H78" s="40" t="str">
        <f t="shared" si="2"/>
        <v>SAUDÁVEL</v>
      </c>
      <c r="I78" s="20">
        <v>5</v>
      </c>
      <c r="J78" s="22" t="s">
        <v>196</v>
      </c>
      <c r="K78" s="31" t="str">
        <f t="shared" si="3"/>
        <v>---</v>
      </c>
      <c r="L78" s="24" t="str">
        <f>IF(OR(H78="COMPRA IMEDIATA", H78="RUPTURA"), IF(K78="---", 0, _xlfn.XLOOKUP(B78, TBEstoque[SKU], TBEstoque[VALOR UNIT. (R$)]) * VALUE(LEFT(K78, SEARCH(" ", K78)-1))), "---")</f>
        <v>---</v>
      </c>
      <c r="M78" s="18">
        <v>46097</v>
      </c>
      <c r="N78" s="19">
        <v>15</v>
      </c>
      <c r="O78" s="18" t="str">
        <f>IF(OR(H78="COMPRA IMEDIATA", H78="RUPTURA"), WORKDAY(M78,N78,Feriados!$A$3:$A$19),"---")</f>
        <v>---</v>
      </c>
      <c r="P78" s="31"/>
      <c r="Q78" s="20" t="str">
        <f>IFERROR(_xlfn.LET(_xlpm.f, _xlfn.XLOOKUP(D78, TBEstoque[DESCRIÇÃO], TBEstoque[FORNECEDOR], "---"), IF(_xlpm.f=0, "---", _xlpm.f)), "---")</f>
        <v>FORNECEDOR 03</v>
      </c>
    </row>
    <row r="79" spans="2:17">
      <c r="B79" s="17">
        <f>TBEstoque[[#This Row],[SKU]]</f>
        <v>20853</v>
      </c>
      <c r="C79" s="20" t="str">
        <f>IF(TBEstoque[[#This Row],[SKU]]=TBSuprimentos[[#This Row],[SKU]],TBEstoque[[#This Row],[CATEGÓRIA]]," ")</f>
        <v>Limpeza</v>
      </c>
      <c r="D79" s="20" t="str">
        <f>IF(TBSuprimentos[[#This Row],[SKU]]=TBEstoque[[#This Row],[SKU]],TBEstoque[[#This Row],[DESCRIÇÃO]]," ")</f>
        <v>LUSTRA MÓVEIS POLIFLOR (UNI)</v>
      </c>
      <c r="E79" s="20" t="str">
        <f>IF(TBSuprimentos[[#This Row],[SKU]]=TBEstoque[[#This Row],[SKU]],TBEstoque[[#This Row],[UNID. MEDIDA]]," ")</f>
        <v>Unid</v>
      </c>
      <c r="F79" s="31">
        <f>_xlfn.XLOOKUP(TBSuprimentos[[#This Row],[SKU]], TBEstoque[SKU], TBEstoque[ESTOQUE ATUAL], 0) - SUMIF(TBConsumo[SKU], TBSuprimentos[[#This Row],[SKU]], TBConsumo[QTDE SOLICITADA])</f>
        <v>25</v>
      </c>
      <c r="G79" s="31">
        <f>VLOOKUP(TBSuprimentos[[#This Row],[DESCRIÇÃO]],TBEstoque[[DESCRIÇÃO]:[CONSUMO MÉDIO MENSAL]],4,0)</f>
        <v>10</v>
      </c>
      <c r="H79" s="40" t="str">
        <f t="shared" si="2"/>
        <v>EXCESSO</v>
      </c>
      <c r="I79" s="20">
        <v>5</v>
      </c>
      <c r="J79" s="22" t="s">
        <v>196</v>
      </c>
      <c r="K79" s="31" t="str">
        <f t="shared" si="3"/>
        <v>---</v>
      </c>
      <c r="L79" s="24" t="str">
        <f>IF(OR(H79="COMPRA IMEDIATA", H79="RUPTURA"), IF(K79="---", 0, _xlfn.XLOOKUP(B79, TBEstoque[SKU], TBEstoque[VALOR UNIT. (R$)]) * VALUE(LEFT(K79, SEARCH(" ", K79)-1))), "---")</f>
        <v>---</v>
      </c>
      <c r="M79" s="18">
        <v>46097</v>
      </c>
      <c r="N79" s="19">
        <v>15</v>
      </c>
      <c r="O79" s="18" t="str">
        <f>IF(OR(H79="COMPRA IMEDIATA", H79="RUPTURA"), WORKDAY(M79,N79,Feriados!$A$3:$A$19),"---")</f>
        <v>---</v>
      </c>
      <c r="P79" s="31"/>
      <c r="Q79" s="20" t="str">
        <f>IFERROR(_xlfn.LET(_xlpm.f, _xlfn.XLOOKUP(D79, TBEstoque[DESCRIÇÃO], TBEstoque[FORNECEDOR], "---"), IF(_xlpm.f=0, "---", _xlpm.f)), "---")</f>
        <v>FORNECEDOR 03</v>
      </c>
    </row>
    <row r="80" spans="2:17">
      <c r="B80" s="17">
        <f>TBEstoque[[#This Row],[SKU]]</f>
        <v>20854</v>
      </c>
      <c r="C80" s="20" t="str">
        <f>IF(TBEstoque[[#This Row],[SKU]]=TBSuprimentos[[#This Row],[SKU]],TBEstoque[[#This Row],[CATEGÓRIA]]," ")</f>
        <v>Limpeza</v>
      </c>
      <c r="D80" s="20" t="str">
        <f>IF(TBSuprimentos[[#This Row],[SKU]]=TBEstoque[[#This Row],[SKU]],TBEstoque[[#This Row],[DESCRIÇÃO]]," ")</f>
        <v>LUVA AMARELA TAM: G (PARES)</v>
      </c>
      <c r="E80" s="20" t="str">
        <f>IF(TBSuprimentos[[#This Row],[SKU]]=TBEstoque[[#This Row],[SKU]],TBEstoque[[#This Row],[UNID. MEDIDA]]," ")</f>
        <v>Par</v>
      </c>
      <c r="F80" s="31">
        <f>_xlfn.XLOOKUP(TBSuprimentos[[#This Row],[SKU]], TBEstoque[SKU], TBEstoque[ESTOQUE ATUAL], 0) - SUMIF(TBConsumo[SKU], TBSuprimentos[[#This Row],[SKU]], TBConsumo[QTDE SOLICITADA])</f>
        <v>11</v>
      </c>
      <c r="G80" s="31">
        <f>VLOOKUP(TBSuprimentos[[#This Row],[DESCRIÇÃO]],TBEstoque[[DESCRIÇÃO]:[CONSUMO MÉDIO MENSAL]],4,0)</f>
        <v>1</v>
      </c>
      <c r="H80" s="40" t="str">
        <f t="shared" si="2"/>
        <v>EXCESSO</v>
      </c>
      <c r="I80" s="20">
        <v>5</v>
      </c>
      <c r="J80" s="22" t="s">
        <v>196</v>
      </c>
      <c r="K80" s="31" t="str">
        <f t="shared" si="3"/>
        <v>---</v>
      </c>
      <c r="L80" s="24" t="str">
        <f>IF(OR(H80="COMPRA IMEDIATA", H80="RUPTURA"), IF(K80="---", 0, _xlfn.XLOOKUP(B80, TBEstoque[SKU], TBEstoque[VALOR UNIT. (R$)]) * VALUE(LEFT(K80, SEARCH(" ", K80)-1))), "---")</f>
        <v>---</v>
      </c>
      <c r="M80" s="18">
        <v>46097</v>
      </c>
      <c r="N80" s="19">
        <v>15</v>
      </c>
      <c r="O80" s="18" t="str">
        <f>IF(OR(H80="COMPRA IMEDIATA", H80="RUPTURA"), WORKDAY(M80,N80,Feriados!$A$3:$A$19),"---")</f>
        <v>---</v>
      </c>
      <c r="P80" s="31"/>
      <c r="Q80" s="20" t="str">
        <f>IFERROR(_xlfn.LET(_xlpm.f, _xlfn.XLOOKUP(D80, TBEstoque[DESCRIÇÃO], TBEstoque[FORNECEDOR], "---"), IF(_xlpm.f=0, "---", _xlpm.f)), "---")</f>
        <v>FORNECEDOR 03</v>
      </c>
    </row>
    <row r="81" spans="2:17">
      <c r="B81" s="17">
        <f>TBEstoque[[#This Row],[SKU]]</f>
        <v>20855</v>
      </c>
      <c r="C81" s="20" t="str">
        <f>IF(TBEstoque[[#This Row],[SKU]]=TBSuprimentos[[#This Row],[SKU]],TBEstoque[[#This Row],[CATEGÓRIA]]," ")</f>
        <v>Limpeza</v>
      </c>
      <c r="D81" s="20" t="str">
        <f>IF(TBSuprimentos[[#This Row],[SKU]]=TBEstoque[[#This Row],[SKU]],TBEstoque[[#This Row],[DESCRIÇÃO]]," ")</f>
        <v>LUVA AMARELA TAM: GG (PARES)</v>
      </c>
      <c r="E81" s="20" t="str">
        <f>IF(TBSuprimentos[[#This Row],[SKU]]=TBEstoque[[#This Row],[SKU]],TBEstoque[[#This Row],[UNID. MEDIDA]]," ")</f>
        <v>Par</v>
      </c>
      <c r="F81" s="31">
        <f>_xlfn.XLOOKUP(TBSuprimentos[[#This Row],[SKU]], TBEstoque[SKU], TBEstoque[ESTOQUE ATUAL], 0) - SUMIF(TBConsumo[SKU], TBSuprimentos[[#This Row],[SKU]], TBConsumo[QTDE SOLICITADA])</f>
        <v>8</v>
      </c>
      <c r="G81" s="31">
        <f>VLOOKUP(TBSuprimentos[[#This Row],[DESCRIÇÃO]],TBEstoque[[DESCRIÇÃO]:[CONSUMO MÉDIO MENSAL]],4,0)</f>
        <v>0</v>
      </c>
      <c r="H81" s="40" t="str">
        <f t="shared" si="2"/>
        <v>EXCESSO</v>
      </c>
      <c r="I81" s="20">
        <v>5</v>
      </c>
      <c r="J81" s="22" t="s">
        <v>196</v>
      </c>
      <c r="K81" s="31" t="str">
        <f t="shared" si="3"/>
        <v>---</v>
      </c>
      <c r="L81" s="24" t="str">
        <f>IF(OR(H81="COMPRA IMEDIATA", H81="RUPTURA"), IF(K81="---", 0, _xlfn.XLOOKUP(B81, TBEstoque[SKU], TBEstoque[VALOR UNIT. (R$)]) * VALUE(LEFT(K81, SEARCH(" ", K81)-1))), "---")</f>
        <v>---</v>
      </c>
      <c r="M81" s="18">
        <v>46097</v>
      </c>
      <c r="N81" s="19">
        <v>15</v>
      </c>
      <c r="O81" s="18" t="str">
        <f>IF(OR(H81="COMPRA IMEDIATA", H81="RUPTURA"), WORKDAY(M81,N81,Feriados!$A$3:$A$19),"---")</f>
        <v>---</v>
      </c>
      <c r="P81" s="31"/>
      <c r="Q81" s="20" t="str">
        <f>IFERROR(_xlfn.LET(_xlpm.f, _xlfn.XLOOKUP(D81, TBEstoque[DESCRIÇÃO], TBEstoque[FORNECEDOR], "---"), IF(_xlpm.f=0, "---", _xlpm.f)), "---")</f>
        <v>FORNECEDOR 03</v>
      </c>
    </row>
    <row r="82" spans="2:17">
      <c r="B82" s="17">
        <f>TBEstoque[[#This Row],[SKU]]</f>
        <v>20856</v>
      </c>
      <c r="C82" s="20" t="str">
        <f>IF(TBEstoque[[#This Row],[SKU]]=TBSuprimentos[[#This Row],[SKU]],TBEstoque[[#This Row],[CATEGÓRIA]]," ")</f>
        <v>Limpeza</v>
      </c>
      <c r="D82" s="20" t="str">
        <f>IF(TBSuprimentos[[#This Row],[SKU]]=TBEstoque[[#This Row],[SKU]],TBEstoque[[#This Row],[DESCRIÇÃO]]," ")</f>
        <v>LUVA AMARELA TAM: M (PARES)</v>
      </c>
      <c r="E82" s="20" t="str">
        <f>IF(TBSuprimentos[[#This Row],[SKU]]=TBEstoque[[#This Row],[SKU]],TBEstoque[[#This Row],[UNID. MEDIDA]]," ")</f>
        <v>Par</v>
      </c>
      <c r="F82" s="31">
        <f>_xlfn.XLOOKUP(TBSuprimentos[[#This Row],[SKU]], TBEstoque[SKU], TBEstoque[ESTOQUE ATUAL], 0) - SUMIF(TBConsumo[SKU], TBSuprimentos[[#This Row],[SKU]], TBConsumo[QTDE SOLICITADA])</f>
        <v>17</v>
      </c>
      <c r="G82" s="31">
        <f>VLOOKUP(TBSuprimentos[[#This Row],[DESCRIÇÃO]],TBEstoque[[DESCRIÇÃO]:[CONSUMO MÉDIO MENSAL]],4,0)</f>
        <v>2</v>
      </c>
      <c r="H82" s="40" t="str">
        <f t="shared" si="2"/>
        <v>EXCESSO</v>
      </c>
      <c r="I82" s="20">
        <v>5</v>
      </c>
      <c r="J82" s="22" t="s">
        <v>196</v>
      </c>
      <c r="K82" s="31" t="str">
        <f t="shared" si="3"/>
        <v>---</v>
      </c>
      <c r="L82" s="24" t="str">
        <f>IF(OR(H82="COMPRA IMEDIATA", H82="RUPTURA"), IF(K82="---", 0, _xlfn.XLOOKUP(B82, TBEstoque[SKU], TBEstoque[VALOR UNIT. (R$)]) * VALUE(LEFT(K82, SEARCH(" ", K82)-1))), "---")</f>
        <v>---</v>
      </c>
      <c r="M82" s="18">
        <v>46097</v>
      </c>
      <c r="N82" s="19">
        <v>15</v>
      </c>
      <c r="O82" s="18" t="str">
        <f>IF(OR(H82="COMPRA IMEDIATA", H82="RUPTURA"), WORKDAY(M82,N82,Feriados!$A$3:$A$19),"---")</f>
        <v>---</v>
      </c>
      <c r="P82" s="31"/>
      <c r="Q82" s="20" t="str">
        <f>IFERROR(_xlfn.LET(_xlpm.f, _xlfn.XLOOKUP(D82, TBEstoque[DESCRIÇÃO], TBEstoque[FORNECEDOR], "---"), IF(_xlpm.f=0, "---", _xlpm.f)), "---")</f>
        <v>FORNECEDOR 03</v>
      </c>
    </row>
    <row r="83" spans="2:17">
      <c r="B83" s="17">
        <f>TBEstoque[[#This Row],[SKU]]</f>
        <v>20857</v>
      </c>
      <c r="C83" s="20" t="str">
        <f>IF(TBEstoque[[#This Row],[SKU]]=TBSuprimentos[[#This Row],[SKU]],TBEstoque[[#This Row],[CATEGÓRIA]]," ")</f>
        <v>Limpeza</v>
      </c>
      <c r="D83" s="20" t="str">
        <f>IF(TBSuprimentos[[#This Row],[SKU]]=TBEstoque[[#This Row],[SKU]],TBEstoque[[#This Row],[DESCRIÇÃO]]," ")</f>
        <v>LUVA AMARELA TAM: P (PARES)</v>
      </c>
      <c r="E83" s="20" t="str">
        <f>IF(TBSuprimentos[[#This Row],[SKU]]=TBEstoque[[#This Row],[SKU]],TBEstoque[[#This Row],[UNID. MEDIDA]]," ")</f>
        <v>Par</v>
      </c>
      <c r="F83" s="31">
        <f>_xlfn.XLOOKUP(TBSuprimentos[[#This Row],[SKU]], TBEstoque[SKU], TBEstoque[ESTOQUE ATUAL], 0) - SUMIF(TBConsumo[SKU], TBSuprimentos[[#This Row],[SKU]], TBConsumo[QTDE SOLICITADA])</f>
        <v>14</v>
      </c>
      <c r="G83" s="31">
        <f>VLOOKUP(TBSuprimentos[[#This Row],[DESCRIÇÃO]],TBEstoque[[DESCRIÇÃO]:[CONSUMO MÉDIO MENSAL]],4,0)</f>
        <v>5</v>
      </c>
      <c r="H83" s="40" t="str">
        <f t="shared" si="2"/>
        <v>EXCESSO</v>
      </c>
      <c r="I83" s="20">
        <v>5</v>
      </c>
      <c r="J83" s="22" t="s">
        <v>196</v>
      </c>
      <c r="K83" s="31" t="str">
        <f t="shared" si="3"/>
        <v>---</v>
      </c>
      <c r="L83" s="24" t="str">
        <f>IF(OR(H83="COMPRA IMEDIATA", H83="RUPTURA"), IF(K83="---", 0, _xlfn.XLOOKUP(B83, TBEstoque[SKU], TBEstoque[VALOR UNIT. (R$)]) * VALUE(LEFT(K83, SEARCH(" ", K83)-1))), "---")</f>
        <v>---</v>
      </c>
      <c r="M83" s="18">
        <v>46097</v>
      </c>
      <c r="N83" s="19">
        <v>15</v>
      </c>
      <c r="O83" s="18" t="str">
        <f>IF(OR(H83="COMPRA IMEDIATA", H83="RUPTURA"), WORKDAY(M83,N83,Feriados!$A$3:$A$19),"---")</f>
        <v>---</v>
      </c>
      <c r="P83" s="31"/>
      <c r="Q83" s="20" t="str">
        <f>IFERROR(_xlfn.LET(_xlpm.f, _xlfn.XLOOKUP(D83, TBEstoque[DESCRIÇÃO], TBEstoque[FORNECEDOR], "---"), IF(_xlpm.f=0, "---", _xlpm.f)), "---")</f>
        <v>FORNECEDOR 03</v>
      </c>
    </row>
    <row r="84" spans="2:17">
      <c r="B84" s="17">
        <f>TBEstoque[[#This Row],[SKU]]</f>
        <v>20858</v>
      </c>
      <c r="C84" s="20" t="str">
        <f>IF(TBEstoque[[#This Row],[SKU]]=TBSuprimentos[[#This Row],[SKU]],TBEstoque[[#This Row],[CATEGÓRIA]]," ")</f>
        <v>Limpeza</v>
      </c>
      <c r="D84" s="20" t="str">
        <f>IF(TBSuprimentos[[#This Row],[SKU]]=TBEstoque[[#This Row],[SKU]],TBEstoque[[#This Row],[DESCRIÇÃO]]," ")</f>
        <v>LUVA AZUL TAM: G (PARES)</v>
      </c>
      <c r="E84" s="20" t="str">
        <f>IF(TBSuprimentos[[#This Row],[SKU]]=TBEstoque[[#This Row],[SKU]],TBEstoque[[#This Row],[UNID. MEDIDA]]," ")</f>
        <v>Par</v>
      </c>
      <c r="F84" s="31">
        <f>_xlfn.XLOOKUP(TBSuprimentos[[#This Row],[SKU]], TBEstoque[SKU], TBEstoque[ESTOQUE ATUAL], 0) - SUMIF(TBConsumo[SKU], TBSuprimentos[[#This Row],[SKU]], TBConsumo[QTDE SOLICITADA])</f>
        <v>12</v>
      </c>
      <c r="G84" s="31">
        <f>VLOOKUP(TBSuprimentos[[#This Row],[DESCRIÇÃO]],TBEstoque[[DESCRIÇÃO]:[CONSUMO MÉDIO MENSAL]],4,0)</f>
        <v>2</v>
      </c>
      <c r="H84" s="40" t="str">
        <f t="shared" si="2"/>
        <v>EXCESSO</v>
      </c>
      <c r="I84" s="20">
        <v>5</v>
      </c>
      <c r="J84" s="22" t="s">
        <v>196</v>
      </c>
      <c r="K84" s="31" t="str">
        <f t="shared" si="3"/>
        <v>---</v>
      </c>
      <c r="L84" s="24" t="str">
        <f>IF(OR(H84="COMPRA IMEDIATA", H84="RUPTURA"), IF(K84="---", 0, _xlfn.XLOOKUP(B84, TBEstoque[SKU], TBEstoque[VALOR UNIT. (R$)]) * VALUE(LEFT(K84, SEARCH(" ", K84)-1))), "---")</f>
        <v>---</v>
      </c>
      <c r="M84" s="18">
        <v>46097</v>
      </c>
      <c r="N84" s="19">
        <v>15</v>
      </c>
      <c r="O84" s="18" t="str">
        <f>IF(OR(H84="COMPRA IMEDIATA", H84="RUPTURA"), WORKDAY(M84,N84,Feriados!$A$3:$A$19),"---")</f>
        <v>---</v>
      </c>
      <c r="P84" s="31"/>
      <c r="Q84" s="20" t="str">
        <f>IFERROR(_xlfn.LET(_xlpm.f, _xlfn.XLOOKUP(D84, TBEstoque[DESCRIÇÃO], TBEstoque[FORNECEDOR], "---"), IF(_xlpm.f=0, "---", _xlpm.f)), "---")</f>
        <v>FORNECEDOR 03</v>
      </c>
    </row>
    <row r="85" spans="2:17">
      <c r="B85" s="17">
        <f>TBEstoque[[#This Row],[SKU]]</f>
        <v>20859</v>
      </c>
      <c r="C85" s="20" t="str">
        <f>IF(TBEstoque[[#This Row],[SKU]]=TBSuprimentos[[#This Row],[SKU]],TBEstoque[[#This Row],[CATEGÓRIA]]," ")</f>
        <v>Limpeza</v>
      </c>
      <c r="D85" s="20" t="str">
        <f>IF(TBSuprimentos[[#This Row],[SKU]]=TBEstoque[[#This Row],[SKU]],TBEstoque[[#This Row],[DESCRIÇÃO]]," ")</f>
        <v>Luva Azul Tam: GG (PARES)</v>
      </c>
      <c r="E85" s="20" t="str">
        <f>IF(TBSuprimentos[[#This Row],[SKU]]=TBEstoque[[#This Row],[SKU]],TBEstoque[[#This Row],[UNID. MEDIDA]]," ")</f>
        <v>Par</v>
      </c>
      <c r="F85" s="31">
        <f>_xlfn.XLOOKUP(TBSuprimentos[[#This Row],[SKU]], TBEstoque[SKU], TBEstoque[ESTOQUE ATUAL], 0) - SUMIF(TBConsumo[SKU], TBSuprimentos[[#This Row],[SKU]], TBConsumo[QTDE SOLICITADA])</f>
        <v>8</v>
      </c>
      <c r="G85" s="31">
        <f>VLOOKUP(TBSuprimentos[[#This Row],[DESCRIÇÃO]],TBEstoque[[DESCRIÇÃO]:[CONSUMO MÉDIO MENSAL]],4,0)</f>
        <v>0</v>
      </c>
      <c r="H85" s="40" t="str">
        <f t="shared" si="2"/>
        <v>EXCESSO</v>
      </c>
      <c r="I85" s="20">
        <v>5</v>
      </c>
      <c r="J85" s="22" t="s">
        <v>196</v>
      </c>
      <c r="K85" s="31" t="str">
        <f t="shared" si="3"/>
        <v>---</v>
      </c>
      <c r="L85" s="24" t="str">
        <f>IF(OR(H85="COMPRA IMEDIATA", H85="RUPTURA"), IF(K85="---", 0, _xlfn.XLOOKUP(B85, TBEstoque[SKU], TBEstoque[VALOR UNIT. (R$)]) * VALUE(LEFT(K85, SEARCH(" ", K85)-1))), "---")</f>
        <v>---</v>
      </c>
      <c r="M85" s="18">
        <v>46097</v>
      </c>
      <c r="N85" s="19">
        <v>15</v>
      </c>
      <c r="O85" s="18" t="str">
        <f>IF(OR(H85="COMPRA IMEDIATA", H85="RUPTURA"), WORKDAY(M85,N85,Feriados!$A$3:$A$19),"---")</f>
        <v>---</v>
      </c>
      <c r="P85" s="31"/>
      <c r="Q85" s="20" t="str">
        <f>IFERROR(_xlfn.LET(_xlpm.f, _xlfn.XLOOKUP(D85, TBEstoque[DESCRIÇÃO], TBEstoque[FORNECEDOR], "---"), IF(_xlpm.f=0, "---", _xlpm.f)), "---")</f>
        <v>FORNECEDOR 03</v>
      </c>
    </row>
    <row r="86" spans="2:17">
      <c r="B86" s="17">
        <f>TBEstoque[[#This Row],[SKU]]</f>
        <v>20860</v>
      </c>
      <c r="C86" s="20" t="str">
        <f>IF(TBEstoque[[#This Row],[SKU]]=TBSuprimentos[[#This Row],[SKU]],TBEstoque[[#This Row],[CATEGÓRIA]]," ")</f>
        <v>Limpeza</v>
      </c>
      <c r="D86" s="20" t="str">
        <f>IF(TBSuprimentos[[#This Row],[SKU]]=TBEstoque[[#This Row],[SKU]],TBEstoque[[#This Row],[DESCRIÇÃO]]," ")</f>
        <v>LUVA AZUL TAM: M (PARES)</v>
      </c>
      <c r="E86" s="20" t="str">
        <f>IF(TBSuprimentos[[#This Row],[SKU]]=TBEstoque[[#This Row],[SKU]],TBEstoque[[#This Row],[UNID. MEDIDA]]," ")</f>
        <v>Par</v>
      </c>
      <c r="F86" s="31">
        <f>_xlfn.XLOOKUP(TBSuprimentos[[#This Row],[SKU]], TBEstoque[SKU], TBEstoque[ESTOQUE ATUAL], 0) - SUMIF(TBConsumo[SKU], TBSuprimentos[[#This Row],[SKU]], TBConsumo[QTDE SOLICITADA])</f>
        <v>11</v>
      </c>
      <c r="G86" s="31">
        <f>VLOOKUP(TBSuprimentos[[#This Row],[DESCRIÇÃO]],TBEstoque[[DESCRIÇÃO]:[CONSUMO MÉDIO MENSAL]],4,0)</f>
        <v>5</v>
      </c>
      <c r="H86" s="40" t="str">
        <f t="shared" si="2"/>
        <v>EXCESSO</v>
      </c>
      <c r="I86" s="20">
        <v>5</v>
      </c>
      <c r="J86" s="22" t="s">
        <v>196</v>
      </c>
      <c r="K86" s="31" t="str">
        <f t="shared" si="3"/>
        <v>---</v>
      </c>
      <c r="L86" s="24" t="str">
        <f>IF(OR(H86="COMPRA IMEDIATA", H86="RUPTURA"), IF(K86="---", 0, _xlfn.XLOOKUP(B86, TBEstoque[SKU], TBEstoque[VALOR UNIT. (R$)]) * VALUE(LEFT(K86, SEARCH(" ", K86)-1))), "---")</f>
        <v>---</v>
      </c>
      <c r="M86" s="18">
        <v>46097</v>
      </c>
      <c r="N86" s="19">
        <v>15</v>
      </c>
      <c r="O86" s="18" t="str">
        <f>IF(OR(H86="COMPRA IMEDIATA", H86="RUPTURA"), WORKDAY(M86,N86,Feriados!$A$3:$A$19),"---")</f>
        <v>---</v>
      </c>
      <c r="P86" s="31"/>
      <c r="Q86" s="20" t="str">
        <f>IFERROR(_xlfn.LET(_xlpm.f, _xlfn.XLOOKUP(D86, TBEstoque[DESCRIÇÃO], TBEstoque[FORNECEDOR], "---"), IF(_xlpm.f=0, "---", _xlpm.f)), "---")</f>
        <v>FORNECEDOR 03</v>
      </c>
    </row>
    <row r="87" spans="2:17">
      <c r="B87" s="17">
        <f>TBEstoque[[#This Row],[SKU]]</f>
        <v>20861</v>
      </c>
      <c r="C87" s="20" t="str">
        <f>IF(TBEstoque[[#This Row],[SKU]]=TBSuprimentos[[#This Row],[SKU]],TBEstoque[[#This Row],[CATEGÓRIA]]," ")</f>
        <v>Limpeza</v>
      </c>
      <c r="D87" s="20" t="str">
        <f>IF(TBSuprimentos[[#This Row],[SKU]]=TBEstoque[[#This Row],[SKU]],TBEstoque[[#This Row],[DESCRIÇÃO]]," ")</f>
        <v>LUVA AZUL TAM: P (PARES)</v>
      </c>
      <c r="E87" s="20" t="str">
        <f>IF(TBSuprimentos[[#This Row],[SKU]]=TBEstoque[[#This Row],[SKU]],TBEstoque[[#This Row],[UNID. MEDIDA]]," ")</f>
        <v>Par</v>
      </c>
      <c r="F87" s="31">
        <f>_xlfn.XLOOKUP(TBSuprimentos[[#This Row],[SKU]], TBEstoque[SKU], TBEstoque[ESTOQUE ATUAL], 0) - SUMIF(TBConsumo[SKU], TBSuprimentos[[#This Row],[SKU]], TBConsumo[QTDE SOLICITADA])</f>
        <v>5</v>
      </c>
      <c r="G87" s="31">
        <f>VLOOKUP(TBSuprimentos[[#This Row],[DESCRIÇÃO]],TBEstoque[[DESCRIÇÃO]:[CONSUMO MÉDIO MENSAL]],4,0)</f>
        <v>5</v>
      </c>
      <c r="H87" s="40" t="str">
        <f t="shared" si="2"/>
        <v>SAUDÁVEL</v>
      </c>
      <c r="I87" s="20">
        <v>1</v>
      </c>
      <c r="J87" s="22" t="s">
        <v>185</v>
      </c>
      <c r="K87" s="31" t="str">
        <f t="shared" si="3"/>
        <v>---</v>
      </c>
      <c r="L87" s="24" t="str">
        <f>IF(OR(H87="COMPRA IMEDIATA", H87="RUPTURA"), IF(K87="---", 0, _xlfn.XLOOKUP(B87, TBEstoque[SKU], TBEstoque[VALOR UNIT. (R$)]) * VALUE(LEFT(K87, SEARCH(" ", K87)-1))), "---")</f>
        <v>---</v>
      </c>
      <c r="M87" s="18">
        <v>46097</v>
      </c>
      <c r="N87" s="19">
        <v>15</v>
      </c>
      <c r="O87" s="18" t="str">
        <f>IF(OR(H87="COMPRA IMEDIATA", H87="RUPTURA"), WORKDAY(M87,N87,Feriados!$A$3:$A$19),"---")</f>
        <v>---</v>
      </c>
      <c r="P87" s="31"/>
      <c r="Q87" s="20" t="str">
        <f>IFERROR(_xlfn.LET(_xlpm.f, _xlfn.XLOOKUP(D87, TBEstoque[DESCRIÇÃO], TBEstoque[FORNECEDOR], "---"), IF(_xlpm.f=0, "---", _xlpm.f)), "---")</f>
        <v>FORNECEDOR 03</v>
      </c>
    </row>
    <row r="88" spans="2:17">
      <c r="B88" s="17">
        <f>TBEstoque[[#This Row],[SKU]]</f>
        <v>20862</v>
      </c>
      <c r="C88" s="20" t="str">
        <f>IF(TBEstoque[[#This Row],[SKU]]=TBSuprimentos[[#This Row],[SKU]],TBEstoque[[#This Row],[CATEGÓRIA]]," ")</f>
        <v>Limpeza</v>
      </c>
      <c r="D88" s="20" t="str">
        <f>IF(TBSuprimentos[[#This Row],[SKU]]=TBEstoque[[#This Row],[SKU]],TBEstoque[[#This Row],[DESCRIÇÃO]]," ")</f>
        <v>PANO DE CHÃO BRANCO ALVEJADO (UNI)</v>
      </c>
      <c r="E88" s="20" t="str">
        <f>IF(TBSuprimentos[[#This Row],[SKU]]=TBEstoque[[#This Row],[SKU]],TBEstoque[[#This Row],[UNID. MEDIDA]]," ")</f>
        <v>Unid</v>
      </c>
      <c r="F88" s="31">
        <f>_xlfn.XLOOKUP(TBSuprimentos[[#This Row],[SKU]], TBEstoque[SKU], TBEstoque[ESTOQUE ATUAL], 0) - SUMIF(TBConsumo[SKU], TBSuprimentos[[#This Row],[SKU]], TBConsumo[QTDE SOLICITADA])</f>
        <v>53</v>
      </c>
      <c r="G88" s="31">
        <f>VLOOKUP(TBSuprimentos[[#This Row],[DESCRIÇÃO]],TBEstoque[[DESCRIÇÃO]:[CONSUMO MÉDIO MENSAL]],4,0)</f>
        <v>75</v>
      </c>
      <c r="H88" s="40" t="str">
        <f t="shared" si="2"/>
        <v>COMPRA IMEDIATA</v>
      </c>
      <c r="I88" s="20">
        <v>1</v>
      </c>
      <c r="J88" s="22" t="s">
        <v>186</v>
      </c>
      <c r="K88" s="31" t="str">
        <f t="shared" si="3"/>
        <v>75 Unid</v>
      </c>
      <c r="L88" s="24">
        <f>IF(OR(H88="COMPRA IMEDIATA", H88="RUPTURA"), IF(K88="---", 0, _xlfn.XLOOKUP(B88, TBEstoque[SKU], TBEstoque[VALOR UNIT. (R$)]) * VALUE(LEFT(K88, SEARCH(" ", K88)-1))), "---")</f>
        <v>451.95</v>
      </c>
      <c r="M88" s="18">
        <v>46097</v>
      </c>
      <c r="N88" s="19">
        <v>15</v>
      </c>
      <c r="O88" s="18">
        <f>IF(OR(H88="COMPRA IMEDIATA", H88="RUPTURA"), WORKDAY(M88,N88,Feriados!$A$3:$A$19),"---")</f>
        <v>46119</v>
      </c>
      <c r="P88" s="31"/>
      <c r="Q88" s="20" t="str">
        <f>IFERROR(_xlfn.LET(_xlpm.f, _xlfn.XLOOKUP(D88, TBEstoque[DESCRIÇÃO], TBEstoque[FORNECEDOR], "---"), IF(_xlpm.f=0, "---", _xlpm.f)), "---")</f>
        <v>FORNECEDOR 03</v>
      </c>
    </row>
    <row r="89" spans="2:17">
      <c r="B89" s="17">
        <f>TBEstoque[[#This Row],[SKU]]</f>
        <v>20863</v>
      </c>
      <c r="C89" s="20" t="str">
        <f>IF(TBEstoque[[#This Row],[SKU]]=TBSuprimentos[[#This Row],[SKU]],TBEstoque[[#This Row],[CATEGÓRIA]]," ")</f>
        <v>Limpeza</v>
      </c>
      <c r="D89" s="20" t="str">
        <f>IF(TBSuprimentos[[#This Row],[SKU]]=TBEstoque[[#This Row],[SKU]],TBEstoque[[#This Row],[DESCRIÇÃO]]," ")</f>
        <v>PANO DE CHÃO XADREZ (UNI)</v>
      </c>
      <c r="E89" s="20" t="str">
        <f>IF(TBSuprimentos[[#This Row],[SKU]]=TBEstoque[[#This Row],[SKU]],TBEstoque[[#This Row],[UNID. MEDIDA]]," ")</f>
        <v>Unid</v>
      </c>
      <c r="F89" s="31">
        <f>_xlfn.XLOOKUP(TBSuprimentos[[#This Row],[SKU]], TBEstoque[SKU], TBEstoque[ESTOQUE ATUAL], 0) - SUMIF(TBConsumo[SKU], TBSuprimentos[[#This Row],[SKU]], TBConsumo[QTDE SOLICITADA])</f>
        <v>67</v>
      </c>
      <c r="G89" s="31">
        <f>VLOOKUP(TBSuprimentos[[#This Row],[DESCRIÇÃO]],TBEstoque[[DESCRIÇÃO]:[CONSUMO MÉDIO MENSAL]],4,0)</f>
        <v>50</v>
      </c>
      <c r="H89" s="40" t="str">
        <f t="shared" si="2"/>
        <v>SAUDÁVEL</v>
      </c>
      <c r="I89" s="20">
        <v>1</v>
      </c>
      <c r="J89" s="22" t="s">
        <v>186</v>
      </c>
      <c r="K89" s="31" t="str">
        <f t="shared" si="3"/>
        <v>---</v>
      </c>
      <c r="L89" s="24" t="str">
        <f>IF(OR(H89="COMPRA IMEDIATA", H89="RUPTURA"), IF(K89="---", 0, _xlfn.XLOOKUP(B89, TBEstoque[SKU], TBEstoque[VALOR UNIT. (R$)]) * VALUE(LEFT(K89, SEARCH(" ", K89)-1))), "---")</f>
        <v>---</v>
      </c>
      <c r="M89" s="18">
        <v>46097</v>
      </c>
      <c r="N89" s="19">
        <v>15</v>
      </c>
      <c r="O89" s="18" t="str">
        <f>IF(OR(H89="COMPRA IMEDIATA", H89="RUPTURA"), WORKDAY(M89,N89,Feriados!$A$3:$A$19),"---")</f>
        <v>---</v>
      </c>
      <c r="P89" s="31"/>
      <c r="Q89" s="20" t="str">
        <f>IFERROR(_xlfn.LET(_xlpm.f, _xlfn.XLOOKUP(D89, TBEstoque[DESCRIÇÃO], TBEstoque[FORNECEDOR], "---"), IF(_xlpm.f=0, "---", _xlpm.f)), "---")</f>
        <v>FORNECEDOR 03</v>
      </c>
    </row>
    <row r="90" spans="2:17">
      <c r="B90" s="17">
        <f>TBEstoque[[#This Row],[SKU]]</f>
        <v>20864</v>
      </c>
      <c r="C90" s="20" t="str">
        <f>IF(TBEstoque[[#This Row],[SKU]]=TBSuprimentos[[#This Row],[SKU]],TBEstoque[[#This Row],[CATEGÓRIA]]," ")</f>
        <v>Limpeza</v>
      </c>
      <c r="D90" s="20" t="str">
        <f>IF(TBSuprimentos[[#This Row],[SKU]]=TBEstoque[[#This Row],[SKU]],TBEstoque[[#This Row],[DESCRIÇÃO]]," ")</f>
        <v>PANO DE PRATO (UNI)</v>
      </c>
      <c r="E90" s="20" t="str">
        <f>IF(TBSuprimentos[[#This Row],[SKU]]=TBEstoque[[#This Row],[SKU]],TBEstoque[[#This Row],[UNID. MEDIDA]]," ")</f>
        <v>Unid</v>
      </c>
      <c r="F90" s="31">
        <f>_xlfn.XLOOKUP(TBSuprimentos[[#This Row],[SKU]], TBEstoque[SKU], TBEstoque[ESTOQUE ATUAL], 0) - SUMIF(TBConsumo[SKU], TBSuprimentos[[#This Row],[SKU]], TBConsumo[QTDE SOLICITADA])</f>
        <v>11</v>
      </c>
      <c r="G90" s="31">
        <f>VLOOKUP(TBSuprimentos[[#This Row],[DESCRIÇÃO]],TBEstoque[[DESCRIÇÃO]:[CONSUMO MÉDIO MENSAL]],4,0)</f>
        <v>5</v>
      </c>
      <c r="H90" s="40" t="str">
        <f t="shared" si="2"/>
        <v>EXCESSO</v>
      </c>
      <c r="I90" s="20">
        <v>1</v>
      </c>
      <c r="J90" s="22" t="s">
        <v>186</v>
      </c>
      <c r="K90" s="31" t="str">
        <f t="shared" si="3"/>
        <v>---</v>
      </c>
      <c r="L90" s="24" t="str">
        <f>IF(OR(H90="COMPRA IMEDIATA", H90="RUPTURA"), IF(K90="---", 0, _xlfn.XLOOKUP(B90, TBEstoque[SKU], TBEstoque[VALOR UNIT. (R$)]) * VALUE(LEFT(K90, SEARCH(" ", K90)-1))), "---")</f>
        <v>---</v>
      </c>
      <c r="M90" s="18">
        <v>46097</v>
      </c>
      <c r="N90" s="19">
        <v>15</v>
      </c>
      <c r="O90" s="18" t="str">
        <f>IF(OR(H90="COMPRA IMEDIATA", H90="RUPTURA"), WORKDAY(M90,N90,Feriados!$A$3:$A$19),"---")</f>
        <v>---</v>
      </c>
      <c r="P90" s="31"/>
      <c r="Q90" s="20" t="str">
        <f>IFERROR(_xlfn.LET(_xlpm.f, _xlfn.XLOOKUP(D90, TBEstoque[DESCRIÇÃO], TBEstoque[FORNECEDOR], "---"), IF(_xlpm.f=0, "---", _xlpm.f)), "---")</f>
        <v>FORNECEDOR 03</v>
      </c>
    </row>
    <row r="91" spans="2:17">
      <c r="B91" s="17">
        <f>TBEstoque[[#This Row],[SKU]]</f>
        <v>20865</v>
      </c>
      <c r="C91" s="20" t="str">
        <f>IF(TBEstoque[[#This Row],[SKU]]=TBSuprimentos[[#This Row],[SKU]],TBEstoque[[#This Row],[CATEGÓRIA]]," ")</f>
        <v>Limpeza</v>
      </c>
      <c r="D91" s="20" t="str">
        <f>IF(TBSuprimentos[[#This Row],[SKU]]=TBEstoque[[#This Row],[SKU]],TBEstoque[[#This Row],[DESCRIÇÃO]]," ")</f>
        <v>PANO MULTIUSO AMARELO PCT- 2 UNIDADES (PCT)</v>
      </c>
      <c r="E91" s="20" t="str">
        <f>IF(TBSuprimentos[[#This Row],[SKU]]=TBEstoque[[#This Row],[SKU]],TBEstoque[[#This Row],[UNID. MEDIDA]]," ")</f>
        <v>Pct</v>
      </c>
      <c r="F91" s="31">
        <f>_xlfn.XLOOKUP(TBSuprimentos[[#This Row],[SKU]], TBEstoque[SKU], TBEstoque[ESTOQUE ATUAL], 0) - SUMIF(TBConsumo[SKU], TBSuprimentos[[#This Row],[SKU]], TBConsumo[QTDE SOLICITADA])</f>
        <v>12</v>
      </c>
      <c r="G91" s="31">
        <f>VLOOKUP(TBSuprimentos[[#This Row],[DESCRIÇÃO]],TBEstoque[[DESCRIÇÃO]:[CONSUMO MÉDIO MENSAL]],4,0)</f>
        <v>2</v>
      </c>
      <c r="H91" s="40" t="str">
        <f t="shared" si="2"/>
        <v>EXCESSO</v>
      </c>
      <c r="I91" s="20">
        <v>12</v>
      </c>
      <c r="J91" s="22" t="s">
        <v>197</v>
      </c>
      <c r="K91" s="31" t="str">
        <f t="shared" si="3"/>
        <v>---</v>
      </c>
      <c r="L91" s="24" t="str">
        <f>IF(OR(H91="COMPRA IMEDIATA", H91="RUPTURA"), IF(K91="---", 0, _xlfn.XLOOKUP(B91, TBEstoque[SKU], TBEstoque[VALOR UNIT. (R$)]) * VALUE(LEFT(K91, SEARCH(" ", K91)-1))), "---")</f>
        <v>---</v>
      </c>
      <c r="M91" s="18">
        <v>46097</v>
      </c>
      <c r="N91" s="19">
        <v>15</v>
      </c>
      <c r="O91" s="18" t="str">
        <f>IF(OR(H91="COMPRA IMEDIATA", H91="RUPTURA"), WORKDAY(M91,N91,Feriados!$A$3:$A$19),"---")</f>
        <v>---</v>
      </c>
      <c r="P91" s="31"/>
      <c r="Q91" s="20" t="str">
        <f>IFERROR(_xlfn.LET(_xlpm.f, _xlfn.XLOOKUP(D91, TBEstoque[DESCRIÇÃO], TBEstoque[FORNECEDOR], "---"), IF(_xlpm.f=0, "---", _xlpm.f)), "---")</f>
        <v>FORNECEDOR 03</v>
      </c>
    </row>
    <row r="92" spans="2:17">
      <c r="B92" s="17">
        <f>TBEstoque[[#This Row],[SKU]]</f>
        <v>20812</v>
      </c>
      <c r="C92" s="20" t="str">
        <f>IF(TBEstoque[[#This Row],[SKU]]=TBSuprimentos[[#This Row],[SKU]],TBEstoque[[#This Row],[CATEGÓRIA]]," ")</f>
        <v>Limpeza</v>
      </c>
      <c r="D92" s="20" t="str">
        <f>IF(TBSuprimentos[[#This Row],[SKU]]=TBEstoque[[#This Row],[SKU]],TBEstoque[[#This Row],[DESCRIÇÃO]]," ")</f>
        <v>PAPEL HIGIÊNICO ROLÃO C/ 8 BOBINAS DE 200M (CX)</v>
      </c>
      <c r="E92" s="20" t="str">
        <f>IF(TBSuprimentos[[#This Row],[SKU]]=TBEstoque[[#This Row],[SKU]],TBEstoque[[#This Row],[UNID. MEDIDA]]," ")</f>
        <v>Cx</v>
      </c>
      <c r="F92" s="31">
        <f>_xlfn.XLOOKUP(TBSuprimentos[[#This Row],[SKU]], TBEstoque[SKU], TBEstoque[ESTOQUE ATUAL], 0) - SUMIF(TBConsumo[SKU], TBSuprimentos[[#This Row],[SKU]], TBConsumo[QTDE SOLICITADA])</f>
        <v>57</v>
      </c>
      <c r="G92" s="31">
        <f>VLOOKUP(TBSuprimentos[[#This Row],[DESCRIÇÃO]],TBEstoque[[DESCRIÇÃO]:[CONSUMO MÉDIO MENSAL]],4,0)</f>
        <v>80</v>
      </c>
      <c r="H92" s="40" t="str">
        <f t="shared" si="2"/>
        <v>COMPRA IMEDIATA</v>
      </c>
      <c r="I92" s="20">
        <v>50</v>
      </c>
      <c r="J92" s="22" t="s">
        <v>183</v>
      </c>
      <c r="K92" s="31" t="str">
        <f t="shared" si="3"/>
        <v>100 Cx</v>
      </c>
      <c r="L92" s="24">
        <f>IF(OR(H92="COMPRA IMEDIATA", H92="RUPTURA"), IF(K92="---", 0, _xlfn.XLOOKUP(B92, TBEstoque[SKU], TBEstoque[VALOR UNIT. (R$)]) * VALUE(LEFT(K92, SEARCH(" ", K92)-1))), "---")</f>
        <v>15029.349999999999</v>
      </c>
      <c r="M92" s="18">
        <v>46097</v>
      </c>
      <c r="N92" s="19">
        <v>15</v>
      </c>
      <c r="O92" s="18">
        <f>IF(OR(H92="COMPRA IMEDIATA", H92="RUPTURA"), WORKDAY(M92,N92,Feriados!$A$3:$A$19),"---")</f>
        <v>46119</v>
      </c>
      <c r="P92" s="31"/>
      <c r="Q92" s="20" t="str">
        <f>IFERROR(_xlfn.LET(_xlpm.f, _xlfn.XLOOKUP(D92, TBEstoque[DESCRIÇÃO], TBEstoque[FORNECEDOR], "---"), IF(_xlpm.f=0, "---", _xlpm.f)), "---")</f>
        <v>FORNECEDOR 03</v>
      </c>
    </row>
    <row r="93" spans="2:17">
      <c r="B93" s="17">
        <f>TBEstoque[[#This Row],[SKU]]</f>
        <v>20866</v>
      </c>
      <c r="C93" s="20" t="str">
        <f>IF(TBEstoque[[#This Row],[SKU]]=TBSuprimentos[[#This Row],[SKU]],TBEstoque[[#This Row],[CATEGÓRIA]]," ")</f>
        <v>Limpeza</v>
      </c>
      <c r="D93" s="20" t="str">
        <f>IF(TBSuprimentos[[#This Row],[SKU]]=TBEstoque[[#This Row],[SKU]],TBEstoque[[#This Row],[DESCRIÇÃO]]," ")</f>
        <v>PAPEL TOALHA INTERFOLHA C/ 4.800 FLS (CX)</v>
      </c>
      <c r="E93" s="20" t="str">
        <f>IF(TBSuprimentos[[#This Row],[SKU]]=TBEstoque[[#This Row],[SKU]],TBEstoque[[#This Row],[UNID. MEDIDA]]," ")</f>
        <v>Cx</v>
      </c>
      <c r="F93" s="31">
        <f>_xlfn.XLOOKUP(TBSuprimentos[[#This Row],[SKU]], TBEstoque[SKU], TBEstoque[ESTOQUE ATUAL], 0) - SUMIF(TBConsumo[SKU], TBSuprimentos[[#This Row],[SKU]], TBConsumo[QTDE SOLICITADA])</f>
        <v>76</v>
      </c>
      <c r="G93" s="31">
        <f>VLOOKUP(TBSuprimentos[[#This Row],[DESCRIÇÃO]],TBEstoque[[DESCRIÇÃO]:[CONSUMO MÉDIO MENSAL]],4,0)</f>
        <v>30</v>
      </c>
      <c r="H93" s="40" t="str">
        <f t="shared" si="2"/>
        <v>EXCESSO</v>
      </c>
      <c r="I93" s="20">
        <v>4</v>
      </c>
      <c r="J93" s="22" t="s">
        <v>183</v>
      </c>
      <c r="K93" s="31" t="str">
        <f t="shared" si="3"/>
        <v>---</v>
      </c>
      <c r="L93" s="24" t="str">
        <f>IF(OR(H93="COMPRA IMEDIATA", H93="RUPTURA"), IF(K93="---", 0, _xlfn.XLOOKUP(B93, TBEstoque[SKU], TBEstoque[VALOR UNIT. (R$)]) * VALUE(LEFT(K93, SEARCH(" ", K93)-1))), "---")</f>
        <v>---</v>
      </c>
      <c r="M93" s="18">
        <v>46097</v>
      </c>
      <c r="N93" s="19">
        <v>15</v>
      </c>
      <c r="O93" s="18" t="str">
        <f>IF(OR(H93="COMPRA IMEDIATA", H93="RUPTURA"), WORKDAY(M93,N93,Feriados!$A$3:$A$19),"---")</f>
        <v>---</v>
      </c>
      <c r="P93" s="31"/>
      <c r="Q93" s="20" t="str">
        <f>IFERROR(_xlfn.LET(_xlpm.f, _xlfn.XLOOKUP(D93, TBEstoque[DESCRIÇÃO], TBEstoque[FORNECEDOR], "---"), IF(_xlpm.f=0, "---", _xlpm.f)), "---")</f>
        <v>FORNECEDOR 03</v>
      </c>
    </row>
    <row r="94" spans="2:17">
      <c r="B94" s="17">
        <f>TBEstoque[[#This Row],[SKU]]</f>
        <v>20813</v>
      </c>
      <c r="C94" s="20" t="str">
        <f>IF(TBEstoque[[#This Row],[SKU]]=TBSuprimentos[[#This Row],[SKU]],TBEstoque[[#This Row],[CATEGÓRIA]]," ")</f>
        <v>Limpeza</v>
      </c>
      <c r="D94" s="20" t="str">
        <f>IF(TBSuprimentos[[#This Row],[SKU]]=TBEstoque[[#This Row],[SKU]],TBEstoque[[#This Row],[DESCRIÇÃO]]," ")</f>
        <v>PAPEL TOALHA OUROPPEL COM 8 ROLOS (CX)</v>
      </c>
      <c r="E94" s="20" t="str">
        <f>IF(TBSuprimentos[[#This Row],[SKU]]=TBEstoque[[#This Row],[SKU]],TBEstoque[[#This Row],[UNID. MEDIDA]]," ")</f>
        <v>Cx</v>
      </c>
      <c r="F94" s="31">
        <f>_xlfn.XLOOKUP(TBSuprimentos[[#This Row],[SKU]], TBEstoque[SKU], TBEstoque[ESTOQUE ATUAL], 0) - SUMIF(TBConsumo[SKU], TBSuprimentos[[#This Row],[SKU]], TBConsumo[QTDE SOLICITADA])</f>
        <v>62</v>
      </c>
      <c r="G94" s="31">
        <f>VLOOKUP(TBSuprimentos[[#This Row],[DESCRIÇÃO]],TBEstoque[[DESCRIÇÃO]:[CONSUMO MÉDIO MENSAL]],4,0)</f>
        <v>60</v>
      </c>
      <c r="H94" s="40" t="str">
        <f t="shared" si="2"/>
        <v>SAUDÁVEL</v>
      </c>
      <c r="I94" s="20">
        <v>4</v>
      </c>
      <c r="J94" s="22" t="s">
        <v>196</v>
      </c>
      <c r="K94" s="31" t="str">
        <f t="shared" si="3"/>
        <v>---</v>
      </c>
      <c r="L94" s="24" t="str">
        <f>IF(OR(H94="COMPRA IMEDIATA", H94="RUPTURA"), IF(K94="---", 0, _xlfn.XLOOKUP(B94, TBEstoque[SKU], TBEstoque[VALOR UNIT. (R$)]) * VALUE(LEFT(K94, SEARCH(" ", K94)-1))), "---")</f>
        <v>---</v>
      </c>
      <c r="M94" s="18">
        <v>46097</v>
      </c>
      <c r="N94" s="19">
        <v>15</v>
      </c>
      <c r="O94" s="18" t="str">
        <f>IF(OR(H94="COMPRA IMEDIATA", H94="RUPTURA"), WORKDAY(M94,N94,Feriados!$A$3:$A$19),"---")</f>
        <v>---</v>
      </c>
      <c r="P94" s="31"/>
      <c r="Q94" s="20" t="str">
        <f>IFERROR(_xlfn.LET(_xlpm.f, _xlfn.XLOOKUP(D94, TBEstoque[DESCRIÇÃO], TBEstoque[FORNECEDOR], "---"), IF(_xlpm.f=0, "---", _xlpm.f)), "---")</f>
        <v>FORNECEDOR 03</v>
      </c>
    </row>
    <row r="95" spans="2:17">
      <c r="B95" s="17">
        <f>TBEstoque[[#This Row],[SKU]]</f>
        <v>20867</v>
      </c>
      <c r="C95" s="20" t="str">
        <f>IF(TBEstoque[[#This Row],[SKU]]=TBSuprimentos[[#This Row],[SKU]],TBEstoque[[#This Row],[CATEGÓRIA]]," ")</f>
        <v>Limpeza</v>
      </c>
      <c r="D95" s="20" t="str">
        <f>IF(TBSuprimentos[[#This Row],[SKU]]=TBEstoque[[#This Row],[SKU]],TBEstoque[[#This Row],[DESCRIÇÃO]]," ")</f>
        <v>PEDRA SANITÁRIA (UNI)</v>
      </c>
      <c r="E95" s="20" t="str">
        <f>IF(TBSuprimentos[[#This Row],[SKU]]=TBEstoque[[#This Row],[SKU]],TBEstoque[[#This Row],[UNID. MEDIDA]]," ")</f>
        <v>Unid</v>
      </c>
      <c r="F95" s="31">
        <f>_xlfn.XLOOKUP(TBSuprimentos[[#This Row],[SKU]], TBEstoque[SKU], TBEstoque[ESTOQUE ATUAL], 0) - SUMIF(TBConsumo[SKU], TBSuprimentos[[#This Row],[SKU]], TBConsumo[QTDE SOLICITADA])</f>
        <v>23</v>
      </c>
      <c r="G95" s="31">
        <f>VLOOKUP(TBSuprimentos[[#This Row],[DESCRIÇÃO]],TBEstoque[[DESCRIÇÃO]:[CONSUMO MÉDIO MENSAL]],4,0)</f>
        <v>40</v>
      </c>
      <c r="H95" s="40" t="str">
        <f t="shared" si="2"/>
        <v>RUPTURA</v>
      </c>
      <c r="I95" s="20">
        <v>5</v>
      </c>
      <c r="J95" s="22" t="s">
        <v>196</v>
      </c>
      <c r="K95" s="31" t="str">
        <f t="shared" si="3"/>
        <v>40 Unid</v>
      </c>
      <c r="L95" s="24">
        <f>IF(OR(H95="COMPRA IMEDIATA", H95="RUPTURA"), IF(K95="---", 0, _xlfn.XLOOKUP(B95, TBEstoque[SKU], TBEstoque[VALOR UNIT. (R$)]) * VALUE(LEFT(K95, SEARCH(" ", K95)-1))), "---")</f>
        <v>76.359999999999985</v>
      </c>
      <c r="M95" s="18">
        <v>46097</v>
      </c>
      <c r="N95" s="19">
        <v>15</v>
      </c>
      <c r="O95" s="18">
        <f>IF(OR(H95="COMPRA IMEDIATA", H95="RUPTURA"), WORKDAY(M95,N95,Feriados!$A$3:$A$19),"---")</f>
        <v>46119</v>
      </c>
      <c r="P95" s="31"/>
      <c r="Q95" s="20" t="str">
        <f>IFERROR(_xlfn.LET(_xlpm.f, _xlfn.XLOOKUP(D95, TBEstoque[DESCRIÇÃO], TBEstoque[FORNECEDOR], "---"), IF(_xlpm.f=0, "---", _xlpm.f)), "---")</f>
        <v>FORNECEDOR 03</v>
      </c>
    </row>
    <row r="96" spans="2:17">
      <c r="B96" s="17">
        <f>TBEstoque[[#This Row],[SKU]]</f>
        <v>20868</v>
      </c>
      <c r="C96" s="20" t="str">
        <f>IF(TBEstoque[[#This Row],[SKU]]=TBSuprimentos[[#This Row],[SKU]],TBEstoque[[#This Row],[CATEGÓRIA]]," ")</f>
        <v>Limpeza</v>
      </c>
      <c r="D96" s="20" t="str">
        <f>IF(TBSuprimentos[[#This Row],[SKU]]=TBEstoque[[#This Row],[SKU]],TBEstoque[[#This Row],[DESCRIÇÃO]]," ")</f>
        <v>SABÃO EM PEDRA (UNI)</v>
      </c>
      <c r="E96" s="20" t="str">
        <f>IF(TBSuprimentos[[#This Row],[SKU]]=TBEstoque[[#This Row],[SKU]],TBEstoque[[#This Row],[UNID. MEDIDA]]," ")</f>
        <v>Unid</v>
      </c>
      <c r="F96" s="31">
        <f>_xlfn.XLOOKUP(TBSuprimentos[[#This Row],[SKU]], TBEstoque[SKU], TBEstoque[ESTOQUE ATUAL], 0) - SUMIF(TBConsumo[SKU], TBSuprimentos[[#This Row],[SKU]], TBConsumo[QTDE SOLICITADA])</f>
        <v>41</v>
      </c>
      <c r="G96" s="31">
        <f>VLOOKUP(TBSuprimentos[[#This Row],[DESCRIÇÃO]],TBEstoque[[DESCRIÇÃO]:[CONSUMO MÉDIO MENSAL]],4,0)</f>
        <v>10</v>
      </c>
      <c r="H96" s="40" t="str">
        <f t="shared" si="2"/>
        <v>EXCESSO</v>
      </c>
      <c r="I96" s="20">
        <v>5</v>
      </c>
      <c r="J96" s="22" t="s">
        <v>196</v>
      </c>
      <c r="K96" s="31" t="str">
        <f t="shared" si="3"/>
        <v>---</v>
      </c>
      <c r="L96" s="24" t="str">
        <f>IF(OR(H96="COMPRA IMEDIATA", H96="RUPTURA"), IF(K96="---", 0, _xlfn.XLOOKUP(B96, TBEstoque[SKU], TBEstoque[VALOR UNIT. (R$)]) * VALUE(LEFT(K96, SEARCH(" ", K96)-1))), "---")</f>
        <v>---</v>
      </c>
      <c r="M96" s="18">
        <v>46097</v>
      </c>
      <c r="N96" s="19">
        <v>15</v>
      </c>
      <c r="O96" s="18" t="str">
        <f>IF(OR(H96="COMPRA IMEDIATA", H96="RUPTURA"), WORKDAY(M96,N96,Feriados!$A$3:$A$19),"---")</f>
        <v>---</v>
      </c>
      <c r="P96" s="31"/>
      <c r="Q96" s="20" t="str">
        <f>IFERROR(_xlfn.LET(_xlpm.f, _xlfn.XLOOKUP(D96, TBEstoque[DESCRIÇÃO], TBEstoque[FORNECEDOR], "---"), IF(_xlpm.f=0, "---", _xlpm.f)), "---")</f>
        <v>FORNECEDOR 03</v>
      </c>
    </row>
    <row r="97" spans="2:17">
      <c r="B97" s="17">
        <f>TBEstoque[[#This Row],[SKU]]</f>
        <v>20869</v>
      </c>
      <c r="C97" s="20" t="str">
        <f>IF(TBEstoque[[#This Row],[SKU]]=TBSuprimentos[[#This Row],[SKU]],TBEstoque[[#This Row],[CATEGÓRIA]]," ")</f>
        <v>Limpeza</v>
      </c>
      <c r="D97" s="20" t="str">
        <f>IF(TBSuprimentos[[#This Row],[SKU]]=TBEstoque[[#This Row],[SKU]],TBEstoque[[#This Row],[DESCRIÇÃO]]," ")</f>
        <v>SABÃO EM PÓ TRIPLAÇÃO (CX)</v>
      </c>
      <c r="E97" s="20" t="str">
        <f>IF(TBSuprimentos[[#This Row],[SKU]]=TBEstoque[[#This Row],[SKU]],TBEstoque[[#This Row],[UNID. MEDIDA]]," ")</f>
        <v>Cx</v>
      </c>
      <c r="F97" s="31">
        <f>_xlfn.XLOOKUP(TBSuprimentos[[#This Row],[SKU]], TBEstoque[SKU], TBEstoque[ESTOQUE ATUAL], 0) - SUMIF(TBConsumo[SKU], TBSuprimentos[[#This Row],[SKU]], TBConsumo[QTDE SOLICITADA])</f>
        <v>34</v>
      </c>
      <c r="G97" s="31">
        <f>VLOOKUP(TBSuprimentos[[#This Row],[DESCRIÇÃO]],TBEstoque[[DESCRIÇÃO]:[CONSUMO MÉDIO MENSAL]],4,0)</f>
        <v>25</v>
      </c>
      <c r="H97" s="40" t="str">
        <f t="shared" si="2"/>
        <v>SAUDÁVEL</v>
      </c>
      <c r="I97" s="20">
        <v>5</v>
      </c>
      <c r="J97" s="22" t="s">
        <v>196</v>
      </c>
      <c r="K97" s="31" t="str">
        <f t="shared" si="3"/>
        <v>---</v>
      </c>
      <c r="L97" s="24" t="str">
        <f>IF(OR(H97="COMPRA IMEDIATA", H97="RUPTURA"), IF(K97="---", 0, _xlfn.XLOOKUP(B97, TBEstoque[SKU], TBEstoque[VALOR UNIT. (R$)]) * VALUE(LEFT(K97, SEARCH(" ", K97)-1))), "---")</f>
        <v>---</v>
      </c>
      <c r="M97" s="18">
        <v>46097</v>
      </c>
      <c r="N97" s="19">
        <v>15</v>
      </c>
      <c r="O97" s="18" t="str">
        <f>IF(OR(H97="COMPRA IMEDIATA", H97="RUPTURA"), WORKDAY(M97,N97,Feriados!$A$3:$A$19),"---")</f>
        <v>---</v>
      </c>
      <c r="P97" s="31"/>
      <c r="Q97" s="20" t="str">
        <f>IFERROR(_xlfn.LET(_xlpm.f, _xlfn.XLOOKUP(D97, TBEstoque[DESCRIÇÃO], TBEstoque[FORNECEDOR], "---"), IF(_xlpm.f=0, "---", _xlpm.f)), "---")</f>
        <v>FORNECEDOR 03</v>
      </c>
    </row>
    <row r="98" spans="2:17">
      <c r="B98" s="17">
        <f>TBEstoque[[#This Row],[SKU]]</f>
        <v>20871</v>
      </c>
      <c r="C98" s="20" t="str">
        <f>IF(TBEstoque[[#This Row],[SKU]]=TBSuprimentos[[#This Row],[SKU]],TBEstoque[[#This Row],[CATEGÓRIA]]," ")</f>
        <v>Limpeza</v>
      </c>
      <c r="D98" s="20" t="str">
        <f>IF(TBSuprimentos[[#This Row],[SKU]]=TBEstoque[[#This Row],[SKU]],TBEstoque[[#This Row],[DESCRIÇÃO]]," ")</f>
        <v>SABONETE LÍQUIDO MORANGO &amp; CHAMPAGNE 5 LTS (UNI)</v>
      </c>
      <c r="E98" s="20" t="str">
        <f>IF(TBSuprimentos[[#This Row],[SKU]]=TBEstoque[[#This Row],[SKU]],TBEstoque[[#This Row],[UNID. MEDIDA]]," ")</f>
        <v>Gl</v>
      </c>
      <c r="F98" s="31">
        <f>_xlfn.XLOOKUP(TBSuprimentos[[#This Row],[SKU]], TBEstoque[SKU], TBEstoque[ESTOQUE ATUAL], 0) - SUMIF(TBConsumo[SKU], TBSuprimentos[[#This Row],[SKU]], TBConsumo[QTDE SOLICITADA])</f>
        <v>15</v>
      </c>
      <c r="G98" s="31">
        <f>VLOOKUP(TBSuprimentos[[#This Row],[DESCRIÇÃO]],TBEstoque[[DESCRIÇÃO]:[CONSUMO MÉDIO MENSAL]],4,0)</f>
        <v>5</v>
      </c>
      <c r="H98" s="40" t="str">
        <f t="shared" si="2"/>
        <v>EXCESSO</v>
      </c>
      <c r="I98" s="20">
        <v>5</v>
      </c>
      <c r="J98" s="22" t="s">
        <v>196</v>
      </c>
      <c r="K98" s="31" t="str">
        <f t="shared" si="3"/>
        <v>---</v>
      </c>
      <c r="L98" s="24" t="str">
        <f>IF(OR(H98="COMPRA IMEDIATA", H98="RUPTURA"), IF(K98="---", 0, _xlfn.XLOOKUP(B98, TBEstoque[SKU], TBEstoque[VALOR UNIT. (R$)]) * VALUE(LEFT(K98, SEARCH(" ", K98)-1))), "---")</f>
        <v>---</v>
      </c>
      <c r="M98" s="18">
        <v>46097</v>
      </c>
      <c r="N98" s="19">
        <v>15</v>
      </c>
      <c r="O98" s="18" t="str">
        <f>IF(OR(H98="COMPRA IMEDIATA", H98="RUPTURA"), WORKDAY(M98,N98,Feriados!$A$3:$A$19),"---")</f>
        <v>---</v>
      </c>
      <c r="P98" s="31"/>
      <c r="Q98" s="20" t="str">
        <f>IFERROR(_xlfn.LET(_xlpm.f, _xlfn.XLOOKUP(D98, TBEstoque[DESCRIÇÃO], TBEstoque[FORNECEDOR], "---"), IF(_xlpm.f=0, "---", _xlpm.f)), "---")</f>
        <v>FORNECEDOR 03</v>
      </c>
    </row>
    <row r="99" spans="2:17">
      <c r="B99" s="17">
        <f>TBEstoque[[#This Row],[SKU]]</f>
        <v>20872</v>
      </c>
      <c r="C99" s="20" t="str">
        <f>IF(TBEstoque[[#This Row],[SKU]]=TBSuprimentos[[#This Row],[SKU]],TBEstoque[[#This Row],[CATEGÓRIA]]," ")</f>
        <v>Limpeza</v>
      </c>
      <c r="D99" s="20" t="str">
        <f>IF(TBSuprimentos[[#This Row],[SKU]]=TBEstoque[[#This Row],[SKU]],TBEstoque[[#This Row],[DESCRIÇÃO]]," ")</f>
        <v>SACO PARA LIXO BRANCO 100L (PCT)</v>
      </c>
      <c r="E99" s="20" t="str">
        <f>IF(TBSuprimentos[[#This Row],[SKU]]=TBEstoque[[#This Row],[SKU]],TBEstoque[[#This Row],[UNID. MEDIDA]]," ")</f>
        <v>Pct</v>
      </c>
      <c r="F99" s="31">
        <f>_xlfn.XLOOKUP(TBSuprimentos[[#This Row],[SKU]], TBEstoque[SKU], TBEstoque[ESTOQUE ATUAL], 0) - SUMIF(TBConsumo[SKU], TBSuprimentos[[#This Row],[SKU]], TBConsumo[QTDE SOLICITADA])</f>
        <v>21</v>
      </c>
      <c r="G99" s="31">
        <f>VLOOKUP(TBSuprimentos[[#This Row],[DESCRIÇÃO]],TBEstoque[[DESCRIÇÃO]:[CONSUMO MÉDIO MENSAL]],4,0)</f>
        <v>10</v>
      </c>
      <c r="H99" s="40" t="str">
        <f t="shared" si="2"/>
        <v>EXCESSO</v>
      </c>
      <c r="I99" s="20">
        <v>4</v>
      </c>
      <c r="J99" s="22" t="s">
        <v>196</v>
      </c>
      <c r="K99" s="31" t="str">
        <f t="shared" si="3"/>
        <v>---</v>
      </c>
      <c r="L99" s="24" t="str">
        <f>IF(OR(H99="COMPRA IMEDIATA", H99="RUPTURA"), IF(K99="---", 0, _xlfn.XLOOKUP(B99, TBEstoque[SKU], TBEstoque[VALOR UNIT. (R$)]) * VALUE(LEFT(K99, SEARCH(" ", K99)-1))), "---")</f>
        <v>---</v>
      </c>
      <c r="M99" s="18">
        <v>46097</v>
      </c>
      <c r="N99" s="19">
        <v>15</v>
      </c>
      <c r="O99" s="18" t="str">
        <f>IF(OR(H99="COMPRA IMEDIATA", H99="RUPTURA"), WORKDAY(M99,N99,Feriados!$A$3:$A$19),"---")</f>
        <v>---</v>
      </c>
      <c r="P99" s="31"/>
      <c r="Q99" s="20" t="str">
        <f>IFERROR(_xlfn.LET(_xlpm.f, _xlfn.XLOOKUP(D99, TBEstoque[DESCRIÇÃO], TBEstoque[FORNECEDOR], "---"), IF(_xlpm.f=0, "---", _xlpm.f)), "---")</f>
        <v>FORNECEDOR 03</v>
      </c>
    </row>
    <row r="100" spans="2:17">
      <c r="B100" s="17">
        <f>TBEstoque[[#This Row],[SKU]]</f>
        <v>20873</v>
      </c>
      <c r="C100" s="20" t="str">
        <f>IF(TBEstoque[[#This Row],[SKU]]=TBSuprimentos[[#This Row],[SKU]],TBEstoque[[#This Row],[CATEGÓRIA]]," ")</f>
        <v>Limpeza</v>
      </c>
      <c r="D100" s="20" t="str">
        <f>IF(TBSuprimentos[[#This Row],[SKU]]=TBEstoque[[#This Row],[SKU]],TBEstoque[[#This Row],[DESCRIÇÃO]]," ")</f>
        <v>SACO PARA LIXO BRANCO 20L (PCT)</v>
      </c>
      <c r="E100" s="20" t="str">
        <f>IF(TBSuprimentos[[#This Row],[SKU]]=TBEstoque[[#This Row],[SKU]],TBEstoque[[#This Row],[UNID. MEDIDA]]," ")</f>
        <v>Pct</v>
      </c>
      <c r="F100" s="31">
        <f>_xlfn.XLOOKUP(TBSuprimentos[[#This Row],[SKU]], TBEstoque[SKU], TBEstoque[ESTOQUE ATUAL], 0) - SUMIF(TBConsumo[SKU], TBSuprimentos[[#This Row],[SKU]], TBConsumo[QTDE SOLICITADA])</f>
        <v>20</v>
      </c>
      <c r="G100" s="31">
        <f>VLOOKUP(TBSuprimentos[[#This Row],[DESCRIÇÃO]],TBEstoque[[DESCRIÇÃO]:[CONSUMO MÉDIO MENSAL]],4,0)</f>
        <v>5</v>
      </c>
      <c r="H100" s="40" t="str">
        <f t="shared" si="2"/>
        <v>EXCESSO</v>
      </c>
      <c r="I100" s="20">
        <v>5</v>
      </c>
      <c r="J100" s="22" t="s">
        <v>196</v>
      </c>
      <c r="K100" s="31" t="str">
        <f t="shared" si="3"/>
        <v>---</v>
      </c>
      <c r="L100" s="24" t="str">
        <f>IF(OR(H100="COMPRA IMEDIATA", H100="RUPTURA"), IF(K100="---", 0, _xlfn.XLOOKUP(B100, TBEstoque[SKU], TBEstoque[VALOR UNIT. (R$)]) * VALUE(LEFT(K100, SEARCH(" ", K100)-1))), "---")</f>
        <v>---</v>
      </c>
      <c r="M100" s="18">
        <v>46097</v>
      </c>
      <c r="N100" s="19">
        <v>15</v>
      </c>
      <c r="O100" s="18" t="str">
        <f>IF(OR(H100="COMPRA IMEDIATA", H100="RUPTURA"), WORKDAY(M100,N100,Feriados!$A$3:$A$19),"---")</f>
        <v>---</v>
      </c>
      <c r="P100" s="31"/>
      <c r="Q100" s="20" t="str">
        <f>IFERROR(_xlfn.LET(_xlpm.f, _xlfn.XLOOKUP(D100, TBEstoque[DESCRIÇÃO], TBEstoque[FORNECEDOR], "---"), IF(_xlpm.f=0, "---", _xlpm.f)), "---")</f>
        <v>FORNECEDOR 03</v>
      </c>
    </row>
    <row r="101" spans="2:17">
      <c r="B101" s="17">
        <f>TBEstoque[[#This Row],[SKU]]</f>
        <v>20874</v>
      </c>
      <c r="C101" s="20" t="str">
        <f>IF(TBEstoque[[#This Row],[SKU]]=TBSuprimentos[[#This Row],[SKU]],TBEstoque[[#This Row],[CATEGÓRIA]]," ")</f>
        <v>Limpeza</v>
      </c>
      <c r="D101" s="20" t="str">
        <f>IF(TBSuprimentos[[#This Row],[SKU]]=TBEstoque[[#This Row],[SKU]],TBEstoque[[#This Row],[DESCRIÇÃO]]," ")</f>
        <v>SACO PARA LIXO BRANCO 40L (PCT)</v>
      </c>
      <c r="E101" s="20" t="str">
        <f>IF(TBSuprimentos[[#This Row],[SKU]]=TBEstoque[[#This Row],[SKU]],TBEstoque[[#This Row],[UNID. MEDIDA]]," ")</f>
        <v>Pct</v>
      </c>
      <c r="F101" s="31">
        <f>_xlfn.XLOOKUP(TBSuprimentos[[#This Row],[SKU]], TBEstoque[SKU], TBEstoque[ESTOQUE ATUAL], 0) - SUMIF(TBConsumo[SKU], TBSuprimentos[[#This Row],[SKU]], TBConsumo[QTDE SOLICITADA])</f>
        <v>10</v>
      </c>
      <c r="G101" s="31">
        <f>VLOOKUP(TBSuprimentos[[#This Row],[DESCRIÇÃO]],TBEstoque[[DESCRIÇÃO]:[CONSUMO MÉDIO MENSAL]],4,0)</f>
        <v>2</v>
      </c>
      <c r="H101" s="40" t="str">
        <f t="shared" si="2"/>
        <v>EXCESSO</v>
      </c>
      <c r="I101" s="20">
        <v>5</v>
      </c>
      <c r="J101" s="22" t="s">
        <v>196</v>
      </c>
      <c r="K101" s="31" t="str">
        <f t="shared" si="3"/>
        <v>---</v>
      </c>
      <c r="L101" s="24" t="str">
        <f>IF(OR(H101="COMPRA IMEDIATA", H101="RUPTURA"), IF(K101="---", 0, _xlfn.XLOOKUP(B101, TBEstoque[SKU], TBEstoque[VALOR UNIT. (R$)]) * VALUE(LEFT(K101, SEARCH(" ", K101)-1))), "---")</f>
        <v>---</v>
      </c>
      <c r="M101" s="18">
        <v>46097</v>
      </c>
      <c r="N101" s="19">
        <v>15</v>
      </c>
      <c r="O101" s="18" t="str">
        <f>IF(OR(H101="COMPRA IMEDIATA", H101="RUPTURA"), WORKDAY(M101,N101,Feriados!$A$3:$A$19),"---")</f>
        <v>---</v>
      </c>
      <c r="P101" s="31"/>
      <c r="Q101" s="20" t="str">
        <f>IFERROR(_xlfn.LET(_xlpm.f, _xlfn.XLOOKUP(D101, TBEstoque[DESCRIÇÃO], TBEstoque[FORNECEDOR], "---"), IF(_xlpm.f=0, "---", _xlpm.f)), "---")</f>
        <v>FORNECEDOR 03</v>
      </c>
    </row>
    <row r="102" spans="2:17">
      <c r="B102" s="17">
        <f>TBEstoque[[#This Row],[SKU]]</f>
        <v>20875</v>
      </c>
      <c r="C102" s="20" t="str">
        <f>IF(TBEstoque[[#This Row],[SKU]]=TBSuprimentos[[#This Row],[SKU]],TBEstoque[[#This Row],[CATEGÓRIA]]," ")</f>
        <v>Limpeza</v>
      </c>
      <c r="D102" s="20" t="str">
        <f>IF(TBSuprimentos[[#This Row],[SKU]]=TBEstoque[[#This Row],[SKU]],TBEstoque[[#This Row],[DESCRIÇÃO]]," ")</f>
        <v>SACO PARA LIXO BRANCO 60L (PCT)</v>
      </c>
      <c r="E102" s="20" t="str">
        <f>IF(TBSuprimentos[[#This Row],[SKU]]=TBEstoque[[#This Row],[SKU]],TBEstoque[[#This Row],[UNID. MEDIDA]]," ")</f>
        <v>Pct</v>
      </c>
      <c r="F102" s="31">
        <f>_xlfn.XLOOKUP(TBSuprimentos[[#This Row],[SKU]], TBEstoque[SKU], TBEstoque[ESTOQUE ATUAL], 0) - SUMIF(TBConsumo[SKU], TBSuprimentos[[#This Row],[SKU]], TBConsumo[QTDE SOLICITADA])</f>
        <v>8</v>
      </c>
      <c r="G102" s="31">
        <f>VLOOKUP(TBSuprimentos[[#This Row],[DESCRIÇÃO]],TBEstoque[[DESCRIÇÃO]:[CONSUMO MÉDIO MENSAL]],4,0)</f>
        <v>4</v>
      </c>
      <c r="H102" s="40" t="str">
        <f t="shared" si="2"/>
        <v>SAUDÁVEL</v>
      </c>
      <c r="I102" s="20">
        <v>5</v>
      </c>
      <c r="J102" s="22" t="s">
        <v>196</v>
      </c>
      <c r="K102" s="31" t="str">
        <f t="shared" si="3"/>
        <v>---</v>
      </c>
      <c r="L102" s="24" t="str">
        <f>IF(OR(H102="COMPRA IMEDIATA", H102="RUPTURA"), IF(K102="---", 0, _xlfn.XLOOKUP(B102, TBEstoque[SKU], TBEstoque[VALOR UNIT. (R$)]) * VALUE(LEFT(K102, SEARCH(" ", K102)-1))), "---")</f>
        <v>---</v>
      </c>
      <c r="M102" s="18">
        <v>46097</v>
      </c>
      <c r="N102" s="19">
        <v>15</v>
      </c>
      <c r="O102" s="18" t="str">
        <f>IF(OR(H102="COMPRA IMEDIATA", H102="RUPTURA"), WORKDAY(M102,N102,Feriados!$A$3:$A$19),"---")</f>
        <v>---</v>
      </c>
      <c r="P102" s="31"/>
      <c r="Q102" s="20" t="str">
        <f>IFERROR(_xlfn.LET(_xlpm.f, _xlfn.XLOOKUP(D102, TBEstoque[DESCRIÇÃO], TBEstoque[FORNECEDOR], "---"), IF(_xlpm.f=0, "---", _xlpm.f)), "---")</f>
        <v>FORNECEDOR 03</v>
      </c>
    </row>
    <row r="103" spans="2:17">
      <c r="B103" s="17">
        <f>TBEstoque[[#This Row],[SKU]]</f>
        <v>20876</v>
      </c>
      <c r="C103" s="20" t="str">
        <f>IF(TBEstoque[[#This Row],[SKU]]=TBSuprimentos[[#This Row],[SKU]],TBEstoque[[#This Row],[CATEGÓRIA]]," ")</f>
        <v>Limpeza</v>
      </c>
      <c r="D103" s="20" t="str">
        <f>IF(TBSuprimentos[[#This Row],[SKU]]=TBEstoque[[#This Row],[SKU]],TBEstoque[[#This Row],[DESCRIÇÃO]]," ")</f>
        <v>SACO PARA LIXO PRETO 100L (PCT)</v>
      </c>
      <c r="E103" s="20" t="str">
        <f>IF(TBSuprimentos[[#This Row],[SKU]]=TBEstoque[[#This Row],[SKU]],TBEstoque[[#This Row],[UNID. MEDIDA]]," ")</f>
        <v>Pct</v>
      </c>
      <c r="F103" s="31">
        <f>_xlfn.XLOOKUP(TBSuprimentos[[#This Row],[SKU]], TBEstoque[SKU], TBEstoque[ESTOQUE ATUAL], 0) - SUMIF(TBConsumo[SKU], TBSuprimentos[[#This Row],[SKU]], TBConsumo[QTDE SOLICITADA])</f>
        <v>6</v>
      </c>
      <c r="G103" s="31">
        <f>VLOOKUP(TBSuprimentos[[#This Row],[DESCRIÇÃO]],TBEstoque[[DESCRIÇÃO]:[CONSUMO MÉDIO MENSAL]],4,0)</f>
        <v>30</v>
      </c>
      <c r="H103" s="40" t="str">
        <f t="shared" si="2"/>
        <v>RUPTURA</v>
      </c>
      <c r="I103" s="20">
        <v>20</v>
      </c>
      <c r="J103" s="22" t="s">
        <v>183</v>
      </c>
      <c r="K103" s="31" t="str">
        <f t="shared" si="3"/>
        <v>40 Pct</v>
      </c>
      <c r="L103" s="24">
        <f>IF(OR(H103="COMPRA IMEDIATA", H103="RUPTURA"), IF(K103="---", 0, _xlfn.XLOOKUP(B103, TBEstoque[SKU], TBEstoque[VALOR UNIT. (R$)]) * VALUE(LEFT(K103, SEARCH(" ", K103)-1))), "---")</f>
        <v>2690.9999999999995</v>
      </c>
      <c r="M103" s="18">
        <v>46097</v>
      </c>
      <c r="N103" s="19">
        <v>15</v>
      </c>
      <c r="O103" s="18">
        <f>IF(OR(H103="COMPRA IMEDIATA", H103="RUPTURA"), WORKDAY(M103,N103,Feriados!$A$3:$A$19),"---")</f>
        <v>46119</v>
      </c>
      <c r="P103" s="31"/>
      <c r="Q103" s="20" t="str">
        <f>IFERROR(_xlfn.LET(_xlpm.f, _xlfn.XLOOKUP(D103, TBEstoque[DESCRIÇÃO], TBEstoque[FORNECEDOR], "---"), IF(_xlpm.f=0, "---", _xlpm.f)), "---")</f>
        <v>FORNECEDOR 03</v>
      </c>
    </row>
    <row r="104" spans="2:17">
      <c r="B104" s="15">
        <f>TBEstoque[[#This Row],[SKU]]</f>
        <v>20877</v>
      </c>
      <c r="C104" s="20" t="str">
        <f>IF(TBEstoque[[#This Row],[SKU]]=TBSuprimentos[[#This Row],[SKU]],TBEstoque[[#This Row],[CATEGÓRIA]]," ")</f>
        <v>Limpeza</v>
      </c>
      <c r="D104" s="20" t="str">
        <f>IF(TBSuprimentos[[#This Row],[SKU]]=TBEstoque[[#This Row],[SKU]],TBEstoque[[#This Row],[DESCRIÇÃO]]," ")</f>
        <v>SACO PARA LIXO PRETO 20L (PCT)</v>
      </c>
      <c r="E104" s="20" t="str">
        <f>IF(TBSuprimentos[[#This Row],[SKU]]=TBEstoque[[#This Row],[SKU]],TBEstoque[[#This Row],[UNID. MEDIDA]]," ")</f>
        <v>Pct</v>
      </c>
      <c r="F104" s="31">
        <f>_xlfn.XLOOKUP(TBSuprimentos[[#This Row],[SKU]], TBEstoque[SKU], TBEstoque[ESTOQUE ATUAL], 0) - SUMIF(TBConsumo[SKU], TBSuprimentos[[#This Row],[SKU]], TBConsumo[QTDE SOLICITADA])</f>
        <v>11</v>
      </c>
      <c r="G104" s="31">
        <f>VLOOKUP(TBSuprimentos[[#This Row],[DESCRIÇÃO]],TBEstoque[[DESCRIÇÃO]:[CONSUMO MÉDIO MENSAL]],4,0)</f>
        <v>10</v>
      </c>
      <c r="H104" s="44" t="str">
        <f t="shared" si="2"/>
        <v>SAUDÁVEL</v>
      </c>
      <c r="I104" s="25">
        <v>10</v>
      </c>
      <c r="J104" s="26" t="s">
        <v>183</v>
      </c>
      <c r="K104" s="43" t="str">
        <f t="shared" si="3"/>
        <v>---</v>
      </c>
      <c r="L104" s="24" t="str">
        <f>IF(OR(H104="COMPRA IMEDIATA", H104="RUPTURA"), IF(K104="---", 0, _xlfn.XLOOKUP(B104, TBEstoque[SKU], TBEstoque[VALOR UNIT. (R$)]) * VALUE(LEFT(K104, SEARCH(" ", K104)-1))), "---")</f>
        <v>---</v>
      </c>
      <c r="M104" s="45">
        <v>46097</v>
      </c>
      <c r="N104" s="28">
        <v>15</v>
      </c>
      <c r="O104" s="45" t="str">
        <f>IF(OR(H104="COMPRA IMEDIATA", H104="RUPTURA"), WORKDAY(M104,N104,Feriados!$A$3:$A$19),"---")</f>
        <v>---</v>
      </c>
      <c r="P104" s="43"/>
      <c r="Q104" s="20" t="str">
        <f>IFERROR(_xlfn.LET(_xlpm.f, _xlfn.XLOOKUP(D104, TBEstoque[DESCRIÇÃO], TBEstoque[FORNECEDOR], "---"), IF(_xlpm.f=0, "---", _xlpm.f)), "---")</f>
        <v>FORNECEDOR 03</v>
      </c>
    </row>
    <row r="105" spans="2:17">
      <c r="B105" s="15">
        <f>TBEstoque[[#This Row],[SKU]]</f>
        <v>20878</v>
      </c>
      <c r="C105" s="20" t="str">
        <f>IF(TBEstoque[[#This Row],[SKU]]=TBSuprimentos[[#This Row],[SKU]],TBEstoque[[#This Row],[CATEGÓRIA]]," ")</f>
        <v>Limpeza</v>
      </c>
      <c r="D105" s="20" t="str">
        <f>IF(TBSuprimentos[[#This Row],[SKU]]=TBEstoque[[#This Row],[SKU]],TBEstoque[[#This Row],[DESCRIÇÃO]]," ")</f>
        <v>SACO PARA LIXO PRETO 40L (PCT)</v>
      </c>
      <c r="E105" s="13" t="str">
        <f>IF(TBSuprimentos[[#This Row],[SKU]]=TBEstoque[[#This Row],[SKU]],TBEstoque[[#This Row],[UNID. MEDIDA]]," ")</f>
        <v>Pct</v>
      </c>
      <c r="F105" s="31">
        <f>_xlfn.XLOOKUP(TBSuprimentos[[#This Row],[SKU]], TBEstoque[SKU], TBEstoque[ESTOQUE ATUAL], 0) - SUMIF(TBConsumo[SKU], TBSuprimentos[[#This Row],[SKU]], TBConsumo[QTDE SOLICITADA])</f>
        <v>19</v>
      </c>
      <c r="G105" s="31">
        <f>VLOOKUP(TBSuprimentos[[#This Row],[DESCRIÇÃO]],TBEstoque[[DESCRIÇÃO]:[CONSUMO MÉDIO MENSAL]],4,0)</f>
        <v>5</v>
      </c>
      <c r="H105" s="40" t="str">
        <f t="shared" ref="H105:H108" si="4">IF(F105 &lt;= (G105/30)*20, "RUPTURA",
 IF(F105 &lt; G105, "COMPRA IMEDIATA",
 IF(F105 &gt; G105*2, "EXCESSO", "SAUDÁVEL")))</f>
        <v>EXCESSO</v>
      </c>
      <c r="I105" s="20">
        <v>20</v>
      </c>
      <c r="J105" s="22" t="s">
        <v>196</v>
      </c>
      <c r="K105" s="31" t="str">
        <f t="shared" ref="K105:K108" si="5">IF(OR(H105="COMPRA IMEDIATA", H105="RUPTURA"), IF(ROUNDUP((MAX(IF(OR(C105="Copa",C105="Limpeza"), F105*2, F105*4), G105+F105) - F105) / I105, 0)&lt;=0, "---", ROUNDUP((MAX(IF(OR(C105="Copa",C105="Limpeza"), F105*2, F105*4), G105+F105) - F105) / I105, 0) * I105 &amp; " " &amp; E105), "---")</f>
        <v>---</v>
      </c>
      <c r="L105" s="24" t="str">
        <f>IF(OR(H105="COMPRA IMEDIATA", H105="RUPTURA"), IF(K105="---", 0, _xlfn.XLOOKUP(B105, TBEstoque[SKU], TBEstoque[VALOR UNIT. (R$)]) * VALUE(LEFT(K105, SEARCH(" ", K105)-1))), "---")</f>
        <v>---</v>
      </c>
      <c r="M105" s="45">
        <v>46097</v>
      </c>
      <c r="N105" s="19">
        <v>15</v>
      </c>
      <c r="O105" s="18" t="str">
        <f>IF(OR(H105="COMPRA IMEDIATA", H105="RUPTURA"), WORKDAY(M105,N105,Feriados!$A$3:$A$19),"---")</f>
        <v>---</v>
      </c>
      <c r="P105" s="31"/>
      <c r="Q105" s="20" t="str">
        <f>IFERROR(_xlfn.LET(_xlpm.f, _xlfn.XLOOKUP(D105, TBEstoque[DESCRIÇÃO], TBEstoque[FORNECEDOR], "---"), IF(_xlpm.f=0, "---", _xlpm.f)), "---")</f>
        <v>FORNECEDOR 03</v>
      </c>
    </row>
    <row r="106" spans="2:17">
      <c r="B106" s="15">
        <f>TBEstoque[[#This Row],[SKU]]</f>
        <v>20879</v>
      </c>
      <c r="C106" s="20" t="str">
        <f>IF(TBEstoque[[#This Row],[SKU]]=TBSuprimentos[[#This Row],[SKU]],TBEstoque[[#This Row],[CATEGÓRIA]]," ")</f>
        <v>Limpeza</v>
      </c>
      <c r="D106" s="20" t="str">
        <f>IF(TBSuprimentos[[#This Row],[SKU]]=TBEstoque[[#This Row],[SKU]],TBEstoque[[#This Row],[DESCRIÇÃO]]," ")</f>
        <v>SACO PARA LIXO PRETO 60L (PCT)</v>
      </c>
      <c r="E106" s="13" t="str">
        <f>IF(TBSuprimentos[[#This Row],[SKU]]=TBEstoque[[#This Row],[SKU]],TBEstoque[[#This Row],[UNID. MEDIDA]]," ")</f>
        <v>Pct</v>
      </c>
      <c r="F106" s="31">
        <f>_xlfn.XLOOKUP(TBSuprimentos[[#This Row],[SKU]], TBEstoque[SKU], TBEstoque[ESTOQUE ATUAL], 0) - SUMIF(TBConsumo[SKU], TBSuprimentos[[#This Row],[SKU]], TBConsumo[QTDE SOLICITADA])</f>
        <v>19</v>
      </c>
      <c r="G106" s="31">
        <f>VLOOKUP(TBSuprimentos[[#This Row],[DESCRIÇÃO]],TBEstoque[[DESCRIÇÃO]:[CONSUMO MÉDIO MENSAL]],4,0)</f>
        <v>15</v>
      </c>
      <c r="H106" s="40" t="str">
        <f t="shared" si="4"/>
        <v>SAUDÁVEL</v>
      </c>
      <c r="I106" s="20">
        <v>2</v>
      </c>
      <c r="J106" s="22" t="s">
        <v>185</v>
      </c>
      <c r="K106" s="31" t="str">
        <f t="shared" si="5"/>
        <v>---</v>
      </c>
      <c r="L106" s="24" t="str">
        <f>IF(OR(H106="COMPRA IMEDIATA", H106="RUPTURA"), IF(K106="---", 0, _xlfn.XLOOKUP(B106, TBEstoque[SKU], TBEstoque[VALOR UNIT. (R$)]) * VALUE(LEFT(K106, SEARCH(" ", K106)-1))), "---")</f>
        <v>---</v>
      </c>
      <c r="M106" s="45">
        <v>46097</v>
      </c>
      <c r="N106" s="19">
        <v>15</v>
      </c>
      <c r="O106" s="18" t="str">
        <f>IF(OR(H106="COMPRA IMEDIATA", H106="RUPTURA"), WORKDAY(M106,N106,Feriados!$A$3:$A$19),"---")</f>
        <v>---</v>
      </c>
      <c r="P106" s="31"/>
      <c r="Q106" s="20" t="str">
        <f>IFERROR(_xlfn.LET(_xlpm.f, _xlfn.XLOOKUP(D106, TBEstoque[DESCRIÇÃO], TBEstoque[FORNECEDOR], "---"), IF(_xlpm.f=0, "---", _xlpm.f)), "---")</f>
        <v>FORNECEDOR 03</v>
      </c>
    </row>
    <row r="107" spans="2:17">
      <c r="B107" s="15">
        <f>TBEstoque[[#This Row],[SKU]]</f>
        <v>20881</v>
      </c>
      <c r="C107" s="20" t="str">
        <f>IF(TBEstoque[[#This Row],[SKU]]=TBSuprimentos[[#This Row],[SKU]],TBEstoque[[#This Row],[CATEGÓRIA]]," ")</f>
        <v>Limpeza</v>
      </c>
      <c r="D107" s="20" t="str">
        <f>IF(TBSuprimentos[[#This Row],[SKU]]=TBEstoque[[#This Row],[SKU]],TBEstoque[[#This Row],[DESCRIÇÃO]]," ")</f>
        <v>SAPOLIO CREMOSO MULTIUSO (UNI)</v>
      </c>
      <c r="E107" s="13" t="str">
        <f>IF(TBSuprimentos[[#This Row],[SKU]]=TBEstoque[[#This Row],[SKU]],TBEstoque[[#This Row],[UNID. MEDIDA]]," ")</f>
        <v>Unid</v>
      </c>
      <c r="F107" s="31">
        <f>_xlfn.XLOOKUP(TBSuprimentos[[#This Row],[SKU]], TBEstoque[SKU], TBEstoque[ESTOQUE ATUAL], 0) - SUMIF(TBConsumo[SKU], TBSuprimentos[[#This Row],[SKU]], TBConsumo[QTDE SOLICITADA])</f>
        <v>16</v>
      </c>
      <c r="G107" s="31">
        <f>VLOOKUP(TBSuprimentos[[#This Row],[DESCRIÇÃO]],TBEstoque[[DESCRIÇÃO]:[CONSUMO MÉDIO MENSAL]],4,0)</f>
        <v>5</v>
      </c>
      <c r="H107" s="40" t="str">
        <f t="shared" si="4"/>
        <v>EXCESSO</v>
      </c>
      <c r="I107" s="20">
        <v>1000</v>
      </c>
      <c r="J107" s="22" t="s">
        <v>196</v>
      </c>
      <c r="K107" s="31" t="str">
        <f t="shared" si="5"/>
        <v>---</v>
      </c>
      <c r="L107" s="24" t="str">
        <f>IF(OR(H107="COMPRA IMEDIATA", H107="RUPTURA"), IF(K107="---", 0, _xlfn.XLOOKUP(B107, TBEstoque[SKU], TBEstoque[VALOR UNIT. (R$)]) * VALUE(LEFT(K107, SEARCH(" ", K107)-1))), "---")</f>
        <v>---</v>
      </c>
      <c r="M107" s="45">
        <v>46097</v>
      </c>
      <c r="N107" s="19">
        <v>30</v>
      </c>
      <c r="O107" s="18" t="str">
        <f>IF(OR(H107="COMPRA IMEDIATA", H107="RUPTURA"), WORKDAY(M107,N107,Feriados!$A$3:$A$19),"---")</f>
        <v>---</v>
      </c>
      <c r="P107" s="31"/>
      <c r="Q107" s="20" t="str">
        <f>IFERROR(_xlfn.LET(_xlpm.f, _xlfn.XLOOKUP(D107, TBEstoque[DESCRIÇÃO], TBEstoque[FORNECEDOR], "---"), IF(_xlpm.f=0, "---", _xlpm.f)), "---")</f>
        <v>FORNECEDOR 03</v>
      </c>
    </row>
    <row r="108" spans="2:17">
      <c r="B108" s="15">
        <f>TBEstoque[[#This Row],[SKU]]</f>
        <v>20880</v>
      </c>
      <c r="C108" s="20" t="str">
        <f>IF(TBEstoque[[#This Row],[SKU]]=TBSuprimentos[[#This Row],[SKU]],TBEstoque[[#This Row],[CATEGÓRIA]]," ")</f>
        <v>Limpeza</v>
      </c>
      <c r="D108" s="20" t="str">
        <f>IF(TBSuprimentos[[#This Row],[SKU]]=TBEstoque[[#This Row],[SKU]],TBEstoque[[#This Row],[DESCRIÇÃO]]," ")</f>
        <v>VEJA MULTIUSO (UNI)</v>
      </c>
      <c r="E108" s="13" t="str">
        <f>IF(TBSuprimentos[[#This Row],[SKU]]=TBEstoque[[#This Row],[SKU]],TBEstoque[[#This Row],[UNID. MEDIDA]]," ")</f>
        <v>Unid</v>
      </c>
      <c r="F108" s="31">
        <f>_xlfn.XLOOKUP(TBSuprimentos[[#This Row],[SKU]], TBEstoque[SKU], TBEstoque[ESTOQUE ATUAL], 0) - SUMIF(TBConsumo[SKU], TBSuprimentos[[#This Row],[SKU]], TBConsumo[QTDE SOLICITADA])</f>
        <v>24</v>
      </c>
      <c r="G108" s="31">
        <f>VLOOKUP(TBSuprimentos[[#This Row],[DESCRIÇÃO]],TBEstoque[[DESCRIÇÃO]:[CONSUMO MÉDIO MENSAL]],4,0)</f>
        <v>30</v>
      </c>
      <c r="H108" s="40" t="str">
        <f t="shared" si="4"/>
        <v>COMPRA IMEDIATA</v>
      </c>
      <c r="I108" s="20">
        <v>1</v>
      </c>
      <c r="J108" s="22" t="s">
        <v>183</v>
      </c>
      <c r="K108" s="31" t="str">
        <f t="shared" si="5"/>
        <v>30 Unid</v>
      </c>
      <c r="L108" s="24">
        <f>IF(OR(H108="COMPRA IMEDIATA", H108="RUPTURA"), IF(K108="---", 0, _xlfn.XLOOKUP(B108, TBEstoque[SKU], TBEstoque[VALOR UNIT. (R$)]) * VALUE(LEFT(K108, SEARCH(" ", K108)-1))), "---")</f>
        <v>274.27499999999998</v>
      </c>
      <c r="M108" s="45">
        <v>46097</v>
      </c>
      <c r="N108" s="19">
        <v>15</v>
      </c>
      <c r="O108" s="18">
        <f>IF(OR(H108="COMPRA IMEDIATA", H108="RUPTURA"), WORKDAY(M108,N108,Feriados!$A$3:$A$19),"---")</f>
        <v>46119</v>
      </c>
      <c r="P108" s="31"/>
      <c r="Q108" s="20" t="str">
        <f>IFERROR(_xlfn.LET(_xlpm.f, _xlfn.XLOOKUP(D108, TBEstoque[DESCRIÇÃO], TBEstoque[FORNECEDOR], "---"), IF(_xlpm.f=0, "---", _xlpm.f)), "---")</f>
        <v>FORNECEDOR 03</v>
      </c>
    </row>
  </sheetData>
  <phoneticPr fontId="5" type="noConversion"/>
  <conditionalFormatting sqref="H5:H108 J39:J54 J56:J63 J65:J104">
    <cfRule type="containsText" dxfId="334" priority="1" operator="containsText" text="EXCESSO">
      <formula>NOT(ISERROR(SEARCH("EXCESSO",H5)))</formula>
    </cfRule>
    <cfRule type="containsText" dxfId="333" priority="2" operator="containsText" text="SAUDÁVEL">
      <formula>NOT(ISERROR(SEARCH("SAUDÁVEL",H5)))</formula>
    </cfRule>
    <cfRule type="containsText" dxfId="332" priority="4" operator="containsText" text="RUPTURA">
      <formula>NOT(ISERROR(SEARCH("RUPTURA",H5)))</formula>
    </cfRule>
    <cfRule type="containsText" dxfId="331" priority="5" operator="containsText" text="COMPRA IMEDIATA">
      <formula>NOT(ISERROR(SEARCH("COMPRA IMEDIATA",H5)))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BFE6-D748-416E-9ADB-8B5C2412F106}">
  <dimension ref="B1:F40"/>
  <sheetViews>
    <sheetView showGridLines="0" zoomScale="90" zoomScaleNormal="90" workbookViewId="0">
      <selection sqref="A1:XFD1048576"/>
    </sheetView>
  </sheetViews>
  <sheetFormatPr defaultRowHeight="13.8"/>
  <cols>
    <col min="2" max="2" width="27.296875" customWidth="1"/>
    <col min="3" max="3" width="36.8984375" bestFit="1" customWidth="1"/>
    <col min="4" max="4" width="61.09765625" bestFit="1" customWidth="1"/>
    <col min="5" max="5" width="50.3984375" bestFit="1" customWidth="1"/>
    <col min="6" max="6" width="47.59765625" bestFit="1" customWidth="1"/>
  </cols>
  <sheetData>
    <row r="1" spans="2:6" ht="14.4" thickBot="1">
      <c r="B1" s="1" t="s">
        <v>24</v>
      </c>
      <c r="C1" s="2" t="s">
        <v>8</v>
      </c>
      <c r="D1" s="3" t="s">
        <v>5</v>
      </c>
      <c r="E1" s="4" t="s">
        <v>22</v>
      </c>
      <c r="F1" s="5" t="s">
        <v>2</v>
      </c>
    </row>
    <row r="2" spans="2:6" ht="14.4" thickBot="1">
      <c r="B2" s="6" t="s">
        <v>26</v>
      </c>
      <c r="C2" s="6" t="s">
        <v>15</v>
      </c>
      <c r="D2" s="6" t="s">
        <v>91</v>
      </c>
      <c r="E2" s="6" t="s">
        <v>92</v>
      </c>
      <c r="F2" s="6" t="s">
        <v>6</v>
      </c>
    </row>
    <row r="3" spans="2:6" ht="14.4" thickBot="1">
      <c r="B3" s="7" t="s">
        <v>25</v>
      </c>
      <c r="C3" s="6" t="s">
        <v>10</v>
      </c>
      <c r="D3" s="6" t="s">
        <v>93</v>
      </c>
      <c r="E3" s="6" t="s">
        <v>54</v>
      </c>
      <c r="F3" s="6" t="s">
        <v>47</v>
      </c>
    </row>
    <row r="4" spans="2:6" ht="14.4" thickBot="1">
      <c r="C4" s="6" t="s">
        <v>49</v>
      </c>
      <c r="D4" s="6" t="s">
        <v>77</v>
      </c>
      <c r="E4" s="6" t="s">
        <v>94</v>
      </c>
      <c r="F4" s="6" t="s">
        <v>7</v>
      </c>
    </row>
    <row r="5" spans="2:6" ht="14.4" thickBot="1">
      <c r="C5" s="6" t="s">
        <v>9</v>
      </c>
      <c r="D5" s="6" t="s">
        <v>36</v>
      </c>
      <c r="E5" s="6" t="s">
        <v>95</v>
      </c>
      <c r="F5" s="6" t="s">
        <v>40</v>
      </c>
    </row>
    <row r="6" spans="2:6" ht="14.4" thickBot="1">
      <c r="C6" s="6" t="s">
        <v>63</v>
      </c>
      <c r="D6" s="6" t="s">
        <v>90</v>
      </c>
      <c r="E6" s="6" t="s">
        <v>96</v>
      </c>
      <c r="F6" s="6" t="s">
        <v>42</v>
      </c>
    </row>
    <row r="7" spans="2:6" ht="14.4" thickBot="1">
      <c r="C7" s="6" t="s">
        <v>16</v>
      </c>
      <c r="D7" s="6" t="s">
        <v>37</v>
      </c>
      <c r="E7" s="6" t="s">
        <v>89</v>
      </c>
      <c r="F7" s="6" t="s">
        <v>13</v>
      </c>
    </row>
    <row r="8" spans="2:6" ht="14.4" thickBot="1">
      <c r="C8" s="6" t="s">
        <v>64</v>
      </c>
      <c r="D8" s="6" t="s">
        <v>85</v>
      </c>
      <c r="E8" s="6" t="s">
        <v>97</v>
      </c>
      <c r="F8" s="6" t="s">
        <v>43</v>
      </c>
    </row>
    <row r="9" spans="2:6" ht="14.4" thickBot="1">
      <c r="C9" s="7" t="s">
        <v>11</v>
      </c>
      <c r="D9" s="6" t="s">
        <v>79</v>
      </c>
      <c r="E9" s="6" t="s">
        <v>88</v>
      </c>
      <c r="F9" s="6" t="s">
        <v>98</v>
      </c>
    </row>
    <row r="10" spans="2:6" ht="14.4" thickBot="1">
      <c r="D10" s="6" t="s">
        <v>80</v>
      </c>
      <c r="E10" s="6" t="s">
        <v>87</v>
      </c>
      <c r="F10" s="6" t="s">
        <v>44</v>
      </c>
    </row>
    <row r="11" spans="2:6" ht="14.4" thickBot="1">
      <c r="D11" s="6" t="s">
        <v>99</v>
      </c>
      <c r="E11" s="6" t="s">
        <v>83</v>
      </c>
      <c r="F11" s="6" t="s">
        <v>81</v>
      </c>
    </row>
    <row r="12" spans="2:6" ht="14.4" thickBot="1">
      <c r="D12" s="6" t="s">
        <v>33</v>
      </c>
      <c r="E12" s="6" t="s">
        <v>100</v>
      </c>
      <c r="F12" s="6" t="s">
        <v>101</v>
      </c>
    </row>
    <row r="13" spans="2:6" ht="14.4" thickBot="1">
      <c r="D13" s="6" t="s">
        <v>34</v>
      </c>
      <c r="E13" s="6" t="s">
        <v>29</v>
      </c>
      <c r="F13" s="6" t="s">
        <v>68</v>
      </c>
    </row>
    <row r="14" spans="2:6" ht="14.4" thickBot="1">
      <c r="D14" s="6" t="s">
        <v>102</v>
      </c>
      <c r="E14" s="6" t="s">
        <v>27</v>
      </c>
      <c r="F14" s="6" t="s">
        <v>73</v>
      </c>
    </row>
    <row r="15" spans="2:6" ht="14.4" thickBot="1">
      <c r="D15" s="6" t="s">
        <v>84</v>
      </c>
      <c r="E15" s="6" t="s">
        <v>28</v>
      </c>
      <c r="F15" s="6" t="s">
        <v>103</v>
      </c>
    </row>
    <row r="16" spans="2:6" ht="14.4" thickBot="1">
      <c r="D16" s="6" t="s">
        <v>104</v>
      </c>
      <c r="E16" s="6" t="s">
        <v>105</v>
      </c>
      <c r="F16" s="6" t="s">
        <v>106</v>
      </c>
    </row>
    <row r="17" spans="4:6" ht="14.4" thickBot="1">
      <c r="D17" s="6" t="s">
        <v>76</v>
      </c>
      <c r="E17" s="6" t="s">
        <v>107</v>
      </c>
      <c r="F17" s="6" t="s">
        <v>66</v>
      </c>
    </row>
    <row r="18" spans="4:6" ht="14.4" thickBot="1">
      <c r="D18" s="6" t="s">
        <v>62</v>
      </c>
      <c r="E18" s="6" t="s">
        <v>41</v>
      </c>
      <c r="F18" s="6" t="s">
        <v>82</v>
      </c>
    </row>
    <row r="19" spans="4:6" ht="14.4" thickBot="1">
      <c r="D19" s="6" t="s">
        <v>108</v>
      </c>
      <c r="E19" s="6" t="s">
        <v>109</v>
      </c>
      <c r="F19" s="6" t="s">
        <v>48</v>
      </c>
    </row>
    <row r="20" spans="4:6" ht="14.4" thickBot="1">
      <c r="D20" s="6" t="s">
        <v>110</v>
      </c>
      <c r="E20" s="6" t="s">
        <v>111</v>
      </c>
      <c r="F20" s="6" t="s">
        <v>72</v>
      </c>
    </row>
    <row r="21" spans="4:6" ht="14.4" thickBot="1">
      <c r="D21" s="6" t="s">
        <v>35</v>
      </c>
      <c r="E21" s="6" t="s">
        <v>112</v>
      </c>
      <c r="F21" s="6" t="s">
        <v>86</v>
      </c>
    </row>
    <row r="22" spans="4:6" ht="14.4" thickBot="1">
      <c r="D22" s="6" t="s">
        <v>71</v>
      </c>
      <c r="E22" s="6" t="s">
        <v>53</v>
      </c>
      <c r="F22" s="6" t="s">
        <v>113</v>
      </c>
    </row>
    <row r="23" spans="4:6" ht="14.4" thickBot="1">
      <c r="D23" s="6" t="s">
        <v>114</v>
      </c>
      <c r="E23" s="6" t="s">
        <v>69</v>
      </c>
      <c r="F23" s="6" t="s">
        <v>17</v>
      </c>
    </row>
    <row r="24" spans="4:6" ht="14.4" thickBot="1">
      <c r="D24" s="7" t="s">
        <v>115</v>
      </c>
      <c r="E24" s="6" t="s">
        <v>116</v>
      </c>
      <c r="F24" s="6" t="s">
        <v>18</v>
      </c>
    </row>
    <row r="25" spans="4:6" ht="14.4" thickBot="1">
      <c r="D25" s="7" t="s">
        <v>78</v>
      </c>
      <c r="E25" s="6" t="s">
        <v>117</v>
      </c>
      <c r="F25" s="6" t="s">
        <v>3</v>
      </c>
    </row>
    <row r="26" spans="4:6" ht="14.4" thickBot="1">
      <c r="E26" s="6" t="s">
        <v>57</v>
      </c>
      <c r="F26" s="6" t="s">
        <v>19</v>
      </c>
    </row>
    <row r="27" spans="4:6" ht="14.4" thickBot="1">
      <c r="E27" s="6" t="s">
        <v>55</v>
      </c>
      <c r="F27" s="6" t="s">
        <v>39</v>
      </c>
    </row>
    <row r="28" spans="4:6" ht="14.4" thickBot="1">
      <c r="E28" s="6" t="s">
        <v>58</v>
      </c>
      <c r="F28" s="6" t="s">
        <v>38</v>
      </c>
    </row>
    <row r="29" spans="4:6" ht="14.4" thickBot="1">
      <c r="E29" s="6" t="s">
        <v>59</v>
      </c>
      <c r="F29" s="6" t="s">
        <v>45</v>
      </c>
    </row>
    <row r="30" spans="4:6" ht="14.4" thickBot="1">
      <c r="E30" s="6" t="s">
        <v>60</v>
      </c>
      <c r="F30" s="6" t="s">
        <v>12</v>
      </c>
    </row>
    <row r="31" spans="4:6" ht="14.4" thickBot="1">
      <c r="E31" s="6" t="s">
        <v>74</v>
      </c>
      <c r="F31" s="6" t="s">
        <v>118</v>
      </c>
    </row>
    <row r="32" spans="4:6" ht="14.4" thickBot="1">
      <c r="E32" s="6" t="s">
        <v>75</v>
      </c>
      <c r="F32" s="6" t="s">
        <v>119</v>
      </c>
    </row>
    <row r="33" spans="5:6" ht="14.4" thickBot="1">
      <c r="E33" s="6" t="s">
        <v>23</v>
      </c>
      <c r="F33" s="6" t="s">
        <v>20</v>
      </c>
    </row>
    <row r="34" spans="5:6" ht="14.4" thickBot="1">
      <c r="E34" s="7" t="s">
        <v>120</v>
      </c>
      <c r="F34" s="6" t="s">
        <v>46</v>
      </c>
    </row>
    <row r="35" spans="5:6" ht="14.4" thickBot="1">
      <c r="E35" s="7"/>
      <c r="F35" s="6" t="s">
        <v>52</v>
      </c>
    </row>
    <row r="36" spans="5:6" ht="14.4" thickBot="1">
      <c r="E36" s="7"/>
      <c r="F36" s="6" t="s">
        <v>65</v>
      </c>
    </row>
    <row r="37" spans="5:6" ht="14.4" thickBot="1">
      <c r="F37" s="6" t="s">
        <v>51</v>
      </c>
    </row>
    <row r="38" spans="5:6" ht="14.4" thickBot="1">
      <c r="F38" s="6" t="s">
        <v>121</v>
      </c>
    </row>
    <row r="39" spans="5:6" ht="14.4" thickBot="1">
      <c r="F39" s="6" t="s">
        <v>50</v>
      </c>
    </row>
    <row r="40" spans="5:6">
      <c r="F40" s="7" t="s">
        <v>21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F3AC-6162-49BD-AF68-66A94468E1C8}">
  <dimension ref="A2:C19"/>
  <sheetViews>
    <sheetView showGridLines="0" workbookViewId="0">
      <selection activeCell="F13" sqref="F13"/>
    </sheetView>
  </sheetViews>
  <sheetFormatPr defaultRowHeight="13.8"/>
  <cols>
    <col min="1" max="1" width="10.296875" bestFit="1" customWidth="1"/>
    <col min="2" max="2" width="12.8984375" bestFit="1" customWidth="1"/>
    <col min="3" max="3" width="41.09765625" bestFit="1" customWidth="1"/>
  </cols>
  <sheetData>
    <row r="2" spans="1:3">
      <c r="A2" t="s">
        <v>200</v>
      </c>
      <c r="B2" t="s">
        <v>202</v>
      </c>
      <c r="C2" t="s">
        <v>201</v>
      </c>
    </row>
    <row r="3" spans="1:3">
      <c r="A3" s="42">
        <v>46023</v>
      </c>
      <c r="B3" t="s">
        <v>203</v>
      </c>
      <c r="C3" t="s">
        <v>204</v>
      </c>
    </row>
    <row r="4" spans="1:3">
      <c r="A4" s="42">
        <v>46069</v>
      </c>
      <c r="B4" t="s">
        <v>205</v>
      </c>
      <c r="C4" t="s">
        <v>206</v>
      </c>
    </row>
    <row r="5" spans="1:3">
      <c r="A5" s="42">
        <v>46070</v>
      </c>
      <c r="B5" t="s">
        <v>207</v>
      </c>
      <c r="C5" t="s">
        <v>206</v>
      </c>
    </row>
    <row r="6" spans="1:3">
      <c r="A6" s="42">
        <v>46071</v>
      </c>
      <c r="B6" t="s">
        <v>208</v>
      </c>
      <c r="C6" t="s">
        <v>209</v>
      </c>
    </row>
    <row r="7" spans="1:3">
      <c r="A7" s="42">
        <v>46115</v>
      </c>
      <c r="B7" t="s">
        <v>210</v>
      </c>
      <c r="C7" t="s">
        <v>211</v>
      </c>
    </row>
    <row r="8" spans="1:3">
      <c r="A8" s="42">
        <v>46117</v>
      </c>
      <c r="B8" t="s">
        <v>212</v>
      </c>
      <c r="C8" t="s">
        <v>213</v>
      </c>
    </row>
    <row r="9" spans="1:3">
      <c r="A9" s="42">
        <v>46133</v>
      </c>
      <c r="B9" t="s">
        <v>207</v>
      </c>
      <c r="C9" t="s">
        <v>214</v>
      </c>
    </row>
    <row r="10" spans="1:3">
      <c r="A10" s="42">
        <v>46143</v>
      </c>
      <c r="B10" t="s">
        <v>210</v>
      </c>
      <c r="C10" t="s">
        <v>215</v>
      </c>
    </row>
    <row r="11" spans="1:3">
      <c r="A11" s="42">
        <v>46177</v>
      </c>
      <c r="B11" t="s">
        <v>203</v>
      </c>
      <c r="C11" t="s">
        <v>216</v>
      </c>
    </row>
    <row r="12" spans="1:3">
      <c r="A12" s="42">
        <v>46212</v>
      </c>
      <c r="B12" t="s">
        <v>203</v>
      </c>
      <c r="C12" t="s">
        <v>217</v>
      </c>
    </row>
    <row r="13" spans="1:3">
      <c r="A13" s="42">
        <v>46272</v>
      </c>
      <c r="B13" t="s">
        <v>205</v>
      </c>
      <c r="C13" t="s">
        <v>218</v>
      </c>
    </row>
    <row r="14" spans="1:3">
      <c r="A14" s="42">
        <v>46307</v>
      </c>
      <c r="B14" t="s">
        <v>205</v>
      </c>
      <c r="C14" t="s">
        <v>219</v>
      </c>
    </row>
    <row r="15" spans="1:3">
      <c r="A15" s="42">
        <v>46323</v>
      </c>
      <c r="B15" t="s">
        <v>208</v>
      </c>
      <c r="C15" t="s">
        <v>220</v>
      </c>
    </row>
    <row r="16" spans="1:3">
      <c r="A16" s="42">
        <v>46328</v>
      </c>
      <c r="B16" t="s">
        <v>205</v>
      </c>
      <c r="C16" t="s">
        <v>221</v>
      </c>
    </row>
    <row r="17" spans="1:3">
      <c r="A17" s="42">
        <v>46341</v>
      </c>
      <c r="B17" t="s">
        <v>212</v>
      </c>
      <c r="C17" t="s">
        <v>222</v>
      </c>
    </row>
    <row r="18" spans="1:3">
      <c r="A18" s="42">
        <v>46346</v>
      </c>
      <c r="B18" t="s">
        <v>210</v>
      </c>
      <c r="C18" t="s">
        <v>223</v>
      </c>
    </row>
    <row r="19" spans="1:3">
      <c r="A19" s="42">
        <v>46381</v>
      </c>
      <c r="B19" t="s">
        <v>210</v>
      </c>
      <c r="C19" t="s">
        <v>224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F46A-1B46-460A-AACC-877B2452BE9B}">
  <sheetPr>
    <tabColor rgb="FFC00000"/>
  </sheetPr>
  <dimension ref="C6:I197"/>
  <sheetViews>
    <sheetView showGridLines="0" tabSelected="1" zoomScale="80" zoomScaleNormal="80" workbookViewId="0">
      <selection activeCell="C101" sqref="C101:D101"/>
    </sheetView>
  </sheetViews>
  <sheetFormatPr defaultRowHeight="13.8"/>
  <cols>
    <col min="1" max="1" width="4.19921875" customWidth="1"/>
    <col min="2" max="2" width="7.19921875" bestFit="1" customWidth="1"/>
    <col min="3" max="3" width="45.296875" customWidth="1"/>
    <col min="4" max="4" width="18.5" bestFit="1" customWidth="1"/>
    <col min="5" max="5" width="10" bestFit="1" customWidth="1"/>
    <col min="6" max="6" width="10.69921875" bestFit="1" customWidth="1"/>
    <col min="7" max="7" width="32.3984375" bestFit="1" customWidth="1"/>
    <col min="8" max="8" width="35.09765625" bestFit="1" customWidth="1"/>
    <col min="9" max="9" width="37.5" bestFit="1" customWidth="1"/>
    <col min="10" max="11" width="6.3984375" bestFit="1" customWidth="1"/>
    <col min="12" max="12" width="7.8984375" bestFit="1" customWidth="1"/>
    <col min="13" max="13" width="11.3984375" bestFit="1" customWidth="1"/>
    <col min="14" max="15" width="7.8984375" bestFit="1" customWidth="1"/>
    <col min="16" max="16" width="5.3984375" bestFit="1" customWidth="1"/>
    <col min="17" max="17" width="10.69921875" bestFit="1" customWidth="1"/>
  </cols>
  <sheetData>
    <row r="6" spans="3:9" s="30" customFormat="1" ht="16.8"/>
    <row r="7" spans="3:9" s="30" customFormat="1" ht="16.8">
      <c r="C7" s="30" t="s">
        <v>287</v>
      </c>
    </row>
    <row r="8" spans="3:9" s="30" customFormat="1" ht="16.8">
      <c r="C8" s="50" t="s">
        <v>316</v>
      </c>
    </row>
    <row r="9" spans="3:9" s="30" customFormat="1" ht="16.8">
      <c r="C9" s="50" t="s">
        <v>317</v>
      </c>
    </row>
    <row r="10" spans="3:9" s="30" customFormat="1" ht="16.8"/>
    <row r="11" spans="3:9" ht="16.8">
      <c r="C11" s="51" t="s">
        <v>291</v>
      </c>
      <c r="D11" s="10"/>
      <c r="E11" s="10"/>
      <c r="F11" s="10"/>
      <c r="G11" s="10"/>
      <c r="H11" s="10"/>
      <c r="I11" s="10"/>
    </row>
    <row r="12" spans="3:9" ht="16.8">
      <c r="C12" s="52">
        <v>1</v>
      </c>
      <c r="D12" s="10"/>
      <c r="E12" s="10"/>
      <c r="F12" s="10"/>
      <c r="G12" s="10"/>
      <c r="H12" s="10"/>
      <c r="I12" s="10"/>
    </row>
    <row r="13" spans="3:9" ht="16.8">
      <c r="C13" s="10"/>
      <c r="D13" s="10"/>
      <c r="E13" s="10"/>
      <c r="F13" s="10"/>
      <c r="G13" s="10"/>
      <c r="H13" s="10"/>
      <c r="I13" s="10"/>
    </row>
    <row r="14" spans="3:9" ht="16.8">
      <c r="C14" s="30" t="s">
        <v>288</v>
      </c>
      <c r="D14" s="10"/>
      <c r="E14" s="10"/>
      <c r="F14" s="10"/>
      <c r="G14" s="10"/>
      <c r="H14" s="10"/>
      <c r="I14" s="10"/>
    </row>
    <row r="15" spans="3:9" ht="16.8">
      <c r="C15" s="50" t="s">
        <v>307</v>
      </c>
      <c r="D15" s="10"/>
      <c r="E15" s="10"/>
      <c r="F15" s="10"/>
      <c r="G15" s="10"/>
      <c r="H15" s="10"/>
      <c r="I15" s="10"/>
    </row>
    <row r="16" spans="3:9" ht="16.8">
      <c r="C16" s="50" t="s">
        <v>322</v>
      </c>
      <c r="D16" s="10"/>
      <c r="E16" s="10"/>
      <c r="F16" s="10"/>
      <c r="G16" s="10"/>
      <c r="H16" s="10"/>
      <c r="I16" s="10"/>
    </row>
    <row r="17" spans="3:9" ht="16.8">
      <c r="C17" s="50" t="s">
        <v>323</v>
      </c>
      <c r="D17" s="10"/>
      <c r="E17" s="10"/>
      <c r="F17" s="10"/>
      <c r="G17" s="10"/>
      <c r="H17" s="10"/>
      <c r="I17" s="10"/>
    </row>
    <row r="18" spans="3:9" ht="16.8">
      <c r="C18" s="10"/>
      <c r="D18" s="10"/>
      <c r="E18" s="10"/>
      <c r="F18" s="10"/>
      <c r="G18" s="10"/>
      <c r="H18" s="10"/>
      <c r="I18" s="10"/>
    </row>
    <row r="19" spans="3:9" ht="16.8">
      <c r="C19" s="53" t="s">
        <v>292</v>
      </c>
      <c r="D19" s="10"/>
      <c r="E19" s="10"/>
      <c r="F19" s="10"/>
      <c r="G19" s="10"/>
      <c r="H19" s="10"/>
      <c r="I19" s="10"/>
    </row>
    <row r="20" spans="3:9" ht="16.8">
      <c r="C20" s="54">
        <v>17938.645999999993</v>
      </c>
      <c r="D20" s="10"/>
      <c r="E20" s="10"/>
      <c r="F20" s="10"/>
      <c r="G20" s="10"/>
      <c r="H20" s="10"/>
      <c r="I20" s="10"/>
    </row>
    <row r="21" spans="3:9" ht="16.8">
      <c r="C21" s="10"/>
      <c r="D21" s="10"/>
      <c r="E21" s="10"/>
      <c r="F21" s="10"/>
      <c r="G21" s="10"/>
      <c r="H21" s="10"/>
      <c r="I21" s="10"/>
    </row>
    <row r="22" spans="3:9" ht="16.8">
      <c r="C22" s="30" t="s">
        <v>289</v>
      </c>
      <c r="D22" s="10"/>
      <c r="E22" s="10"/>
      <c r="F22" s="10"/>
      <c r="G22" s="10"/>
      <c r="H22" s="10"/>
      <c r="I22" s="10"/>
    </row>
    <row r="23" spans="3:9" ht="16.8">
      <c r="C23" s="50" t="s">
        <v>320</v>
      </c>
      <c r="D23" s="10"/>
      <c r="E23" s="10"/>
      <c r="F23" s="10"/>
      <c r="G23" s="10"/>
      <c r="H23" s="10"/>
      <c r="I23" s="10"/>
    </row>
    <row r="24" spans="3:9" ht="16.8">
      <c r="C24" s="50" t="s">
        <v>321</v>
      </c>
      <c r="D24" s="10"/>
      <c r="E24" s="10"/>
      <c r="F24" s="10"/>
      <c r="G24" s="10"/>
      <c r="H24" s="10"/>
      <c r="I24" s="10"/>
    </row>
    <row r="25" spans="3:9" ht="16.8">
      <c r="C25" s="10"/>
      <c r="D25" s="10"/>
      <c r="E25" s="10"/>
      <c r="F25" s="10"/>
      <c r="G25" s="10"/>
      <c r="H25" s="10"/>
      <c r="I25" s="10"/>
    </row>
    <row r="26" spans="3:9" ht="16.8">
      <c r="C26" s="51" t="s">
        <v>293</v>
      </c>
      <c r="D26" s="10"/>
      <c r="E26" s="10"/>
      <c r="F26" s="10"/>
      <c r="G26" s="10"/>
      <c r="H26" s="10"/>
      <c r="I26" s="10"/>
    </row>
    <row r="27" spans="3:9" ht="16.8">
      <c r="C27" s="55">
        <v>90.8157953969951</v>
      </c>
      <c r="D27" s="10"/>
      <c r="E27" s="10"/>
      <c r="F27" s="10"/>
      <c r="G27" s="10"/>
      <c r="H27" s="10"/>
      <c r="I27" s="10"/>
    </row>
    <row r="28" spans="3:9" ht="16.8">
      <c r="C28" s="10"/>
      <c r="D28" s="10"/>
      <c r="E28" s="10"/>
      <c r="F28" s="10"/>
      <c r="G28" s="10"/>
      <c r="H28" s="10"/>
      <c r="I28" s="10"/>
    </row>
    <row r="29" spans="3:9" ht="16.8">
      <c r="C29" s="30" t="s">
        <v>290</v>
      </c>
      <c r="D29" s="10"/>
      <c r="E29" s="10"/>
      <c r="F29" s="10"/>
      <c r="G29" s="10"/>
      <c r="H29" s="10"/>
      <c r="I29" s="10"/>
    </row>
    <row r="30" spans="3:9" ht="16.8">
      <c r="C30" s="50" t="s">
        <v>318</v>
      </c>
      <c r="D30" s="10"/>
      <c r="E30" s="10"/>
      <c r="F30" s="10"/>
      <c r="G30" s="10"/>
      <c r="H30" s="10"/>
      <c r="I30" s="10"/>
    </row>
    <row r="31" spans="3:9" ht="16.8">
      <c r="C31" s="50" t="s">
        <v>319</v>
      </c>
      <c r="D31" s="10"/>
      <c r="E31" s="10"/>
      <c r="F31" s="10"/>
      <c r="G31" s="10"/>
      <c r="H31" s="10"/>
      <c r="I31" s="10"/>
    </row>
    <row r="32" spans="3:9" ht="16.8">
      <c r="C32" s="10"/>
      <c r="D32" s="10"/>
      <c r="E32" s="10"/>
      <c r="F32" s="10"/>
      <c r="G32" s="10"/>
      <c r="H32" s="10"/>
      <c r="I32" s="10"/>
    </row>
    <row r="33" spans="3:9" ht="16.8">
      <c r="C33" s="51" t="s">
        <v>294</v>
      </c>
      <c r="D33" s="10"/>
      <c r="E33" s="10"/>
      <c r="F33" s="10"/>
      <c r="G33" s="10"/>
      <c r="H33" s="10"/>
      <c r="I33" s="10"/>
    </row>
    <row r="34" spans="3:9" ht="16.8">
      <c r="C34" s="69">
        <v>0.41594451634685725</v>
      </c>
      <c r="D34" s="10"/>
      <c r="E34" s="10"/>
      <c r="F34" s="10"/>
      <c r="G34" s="10"/>
      <c r="H34" s="10"/>
      <c r="I34" s="10"/>
    </row>
    <row r="35" spans="3:9" ht="16.8">
      <c r="C35" s="10"/>
      <c r="D35" s="10"/>
      <c r="E35" s="10"/>
      <c r="F35" s="10"/>
      <c r="G35" s="10"/>
      <c r="H35" s="10"/>
      <c r="I35" s="10"/>
    </row>
    <row r="36" spans="3:9" ht="16.8">
      <c r="C36" s="30" t="s">
        <v>295</v>
      </c>
      <c r="D36" s="10"/>
      <c r="E36" s="10"/>
      <c r="F36" s="10"/>
      <c r="G36" s="10"/>
      <c r="H36" s="10"/>
      <c r="I36" s="10"/>
    </row>
    <row r="37" spans="3:9" ht="16.8">
      <c r="C37" s="50" t="s">
        <v>313</v>
      </c>
      <c r="D37" s="10"/>
      <c r="E37" s="10"/>
      <c r="F37" s="10"/>
      <c r="G37" s="10"/>
      <c r="H37" s="10"/>
      <c r="I37" s="10"/>
    </row>
    <row r="38" spans="3:9" ht="16.8">
      <c r="C38" s="50" t="s">
        <v>314</v>
      </c>
      <c r="D38" s="10"/>
      <c r="E38" s="10"/>
      <c r="F38" s="10"/>
      <c r="G38" s="10"/>
      <c r="H38" s="10"/>
      <c r="I38" s="10"/>
    </row>
    <row r="39" spans="3:9" ht="16.8">
      <c r="C39" s="50" t="s">
        <v>315</v>
      </c>
      <c r="D39" s="10"/>
      <c r="E39" s="10"/>
      <c r="F39" s="10"/>
      <c r="G39" s="10"/>
      <c r="H39" s="10"/>
      <c r="I39" s="10"/>
    </row>
    <row r="40" spans="3:9" ht="16.8">
      <c r="C40" s="50" t="s">
        <v>324</v>
      </c>
      <c r="D40" s="10"/>
      <c r="E40" s="10"/>
      <c r="F40" s="10"/>
      <c r="G40" s="10"/>
      <c r="H40" s="10"/>
      <c r="I40" s="10"/>
    </row>
    <row r="41" spans="3:9" ht="16.8">
      <c r="C41" s="10"/>
      <c r="D41" s="10"/>
      <c r="E41" s="10"/>
      <c r="F41" s="10"/>
      <c r="G41" s="10"/>
      <c r="H41" s="10"/>
      <c r="I41" s="10"/>
    </row>
    <row r="42" spans="3:9" ht="16.8">
      <c r="C42" s="56" t="s">
        <v>169</v>
      </c>
      <c r="D42" s="56" t="s" vm="1">
        <v>173</v>
      </c>
      <c r="E42" s="10"/>
      <c r="F42" s="10"/>
      <c r="G42" s="10"/>
      <c r="H42" s="10"/>
      <c r="I42" s="10"/>
    </row>
    <row r="43" spans="3:9" ht="16.8">
      <c r="C43" s="10"/>
      <c r="D43" s="10"/>
      <c r="E43" s="10"/>
      <c r="F43" s="10"/>
      <c r="G43" s="10"/>
      <c r="H43" s="10"/>
      <c r="I43" s="10"/>
    </row>
    <row r="44" spans="3:9" ht="16.8">
      <c r="C44" s="56" t="s">
        <v>305</v>
      </c>
      <c r="D44" s="56" t="s">
        <v>229</v>
      </c>
      <c r="E44" s="56"/>
      <c r="F44" s="56"/>
      <c r="G44" s="10"/>
      <c r="H44" s="10"/>
      <c r="I44" s="10"/>
    </row>
    <row r="45" spans="3:9" ht="16.8">
      <c r="C45" s="56" t="s">
        <v>230</v>
      </c>
      <c r="D45" s="56" t="s">
        <v>226</v>
      </c>
      <c r="E45" s="56" t="s">
        <v>227</v>
      </c>
      <c r="F45" s="56" t="s">
        <v>228</v>
      </c>
      <c r="G45" s="10"/>
      <c r="H45" s="10"/>
      <c r="I45" s="10"/>
    </row>
    <row r="46" spans="3:9" ht="16.8">
      <c r="C46" s="22" t="s">
        <v>15</v>
      </c>
      <c r="D46" s="68"/>
      <c r="E46" s="68"/>
      <c r="F46" s="68"/>
      <c r="G46" s="10"/>
      <c r="H46" s="10"/>
      <c r="I46" s="10"/>
    </row>
    <row r="47" spans="3:9" ht="16.8">
      <c r="C47" s="58" t="s">
        <v>296</v>
      </c>
      <c r="D47" s="57">
        <v>20814</v>
      </c>
      <c r="E47" s="57"/>
      <c r="F47" s="57">
        <v>20814</v>
      </c>
      <c r="G47" s="10"/>
      <c r="H47" s="10"/>
      <c r="I47" s="10"/>
    </row>
    <row r="48" spans="3:9" ht="16.8">
      <c r="C48" s="22" t="s">
        <v>6</v>
      </c>
      <c r="D48" s="68"/>
      <c r="E48" s="68"/>
      <c r="F48" s="68"/>
      <c r="G48" s="10"/>
      <c r="H48" s="10"/>
      <c r="I48" s="10"/>
    </row>
    <row r="49" spans="3:9" ht="16.8">
      <c r="C49" s="58" t="s">
        <v>297</v>
      </c>
      <c r="D49" s="57">
        <v>20847</v>
      </c>
      <c r="E49" s="57"/>
      <c r="F49" s="57">
        <v>20847</v>
      </c>
      <c r="G49" s="10"/>
      <c r="H49" s="10"/>
      <c r="I49" s="10"/>
    </row>
    <row r="50" spans="3:9" ht="16.8">
      <c r="C50" s="22" t="s">
        <v>7</v>
      </c>
      <c r="D50" s="68"/>
      <c r="E50" s="68"/>
      <c r="F50" s="68"/>
      <c r="G50" s="10"/>
      <c r="H50" s="10"/>
      <c r="I50" s="10"/>
    </row>
    <row r="51" spans="3:9" ht="16.8">
      <c r="C51" s="58" t="s">
        <v>298</v>
      </c>
      <c r="D51" s="57">
        <v>20848</v>
      </c>
      <c r="E51" s="57"/>
      <c r="F51" s="57">
        <v>20848</v>
      </c>
      <c r="G51" s="10"/>
      <c r="H51" s="10"/>
      <c r="I51" s="10"/>
    </row>
    <row r="52" spans="3:9" ht="16.8">
      <c r="C52" s="22" t="s">
        <v>26</v>
      </c>
      <c r="D52" s="68"/>
      <c r="E52" s="68"/>
      <c r="F52" s="68"/>
      <c r="G52" s="10"/>
      <c r="H52" s="10"/>
      <c r="I52" s="10"/>
    </row>
    <row r="53" spans="3:9" ht="16.8">
      <c r="C53" s="58" t="s">
        <v>299</v>
      </c>
      <c r="D53" s="57"/>
      <c r="E53" s="57">
        <v>20810</v>
      </c>
      <c r="F53" s="57">
        <v>20810</v>
      </c>
      <c r="G53" s="10"/>
      <c r="H53" s="10"/>
      <c r="I53" s="10"/>
    </row>
    <row r="54" spans="3:9" ht="16.8">
      <c r="C54" s="22" t="s">
        <v>11</v>
      </c>
      <c r="D54" s="68"/>
      <c r="E54" s="68"/>
      <c r="F54" s="68"/>
      <c r="G54" s="10"/>
      <c r="H54" s="10"/>
      <c r="I54" s="10"/>
    </row>
    <row r="55" spans="3:9" ht="16.8">
      <c r="C55" s="58" t="s">
        <v>300</v>
      </c>
      <c r="D55" s="57">
        <v>20821</v>
      </c>
      <c r="E55" s="57"/>
      <c r="F55" s="57">
        <v>20821</v>
      </c>
      <c r="G55" s="10"/>
      <c r="H55" s="10"/>
      <c r="I55" s="10"/>
    </row>
    <row r="56" spans="3:9" ht="16.8">
      <c r="C56" s="22" t="s">
        <v>48</v>
      </c>
      <c r="D56" s="68"/>
      <c r="E56" s="68"/>
      <c r="F56" s="68"/>
      <c r="G56" s="10"/>
      <c r="H56" s="10"/>
      <c r="I56" s="10"/>
    </row>
    <row r="57" spans="3:9" ht="16.8">
      <c r="C57" s="58" t="s">
        <v>301</v>
      </c>
      <c r="D57" s="57">
        <v>20862</v>
      </c>
      <c r="E57" s="57"/>
      <c r="F57" s="57">
        <v>20862</v>
      </c>
      <c r="G57" s="10"/>
      <c r="H57" s="10"/>
      <c r="I57" s="10"/>
    </row>
    <row r="58" spans="3:9" ht="16.8">
      <c r="C58" s="22" t="s">
        <v>17</v>
      </c>
      <c r="D58" s="68"/>
      <c r="E58" s="68"/>
      <c r="F58" s="68"/>
      <c r="G58" s="10"/>
      <c r="H58" s="10"/>
      <c r="I58" s="10"/>
    </row>
    <row r="59" spans="3:9" ht="16.8">
      <c r="C59" s="58" t="s">
        <v>302</v>
      </c>
      <c r="D59" s="57">
        <v>20812</v>
      </c>
      <c r="E59" s="57"/>
      <c r="F59" s="57">
        <v>20812</v>
      </c>
      <c r="G59" s="10"/>
      <c r="H59" s="10"/>
      <c r="I59" s="10"/>
    </row>
    <row r="60" spans="3:9" ht="16.8">
      <c r="C60" s="22" t="s">
        <v>46</v>
      </c>
      <c r="D60" s="68"/>
      <c r="E60" s="68"/>
      <c r="F60" s="68"/>
      <c r="G60" s="10"/>
      <c r="H60" s="10"/>
      <c r="I60" s="10"/>
    </row>
    <row r="61" spans="3:9" ht="16.8">
      <c r="C61" s="58" t="s">
        <v>303</v>
      </c>
      <c r="D61" s="57"/>
      <c r="E61" s="57">
        <v>20876</v>
      </c>
      <c r="F61" s="57">
        <v>20876</v>
      </c>
      <c r="G61" s="10"/>
      <c r="H61" s="10"/>
      <c r="I61" s="10"/>
    </row>
    <row r="62" spans="3:9" ht="16.8">
      <c r="C62" s="22" t="s">
        <v>21</v>
      </c>
      <c r="D62" s="68"/>
      <c r="E62" s="68"/>
      <c r="F62" s="68"/>
      <c r="G62" s="10"/>
      <c r="H62" s="10"/>
      <c r="I62" s="10"/>
    </row>
    <row r="63" spans="3:9" ht="16.8">
      <c r="C63" s="58" t="s">
        <v>304</v>
      </c>
      <c r="D63" s="57">
        <v>20880</v>
      </c>
      <c r="E63" s="57"/>
      <c r="F63" s="57">
        <v>20880</v>
      </c>
      <c r="G63" s="10"/>
      <c r="H63" s="10"/>
      <c r="I63" s="10"/>
    </row>
    <row r="64" spans="3:9" ht="16.8">
      <c r="C64" s="59" t="s">
        <v>228</v>
      </c>
      <c r="D64" s="60">
        <v>20880</v>
      </c>
      <c r="E64" s="60">
        <v>20876</v>
      </c>
      <c r="F64" s="60">
        <v>20880</v>
      </c>
      <c r="G64" s="10"/>
      <c r="H64" s="10"/>
      <c r="I64" s="10"/>
    </row>
    <row r="65" spans="3:9" ht="16.8">
      <c r="C65" s="10"/>
      <c r="D65" s="10"/>
      <c r="E65" s="10"/>
      <c r="F65" s="10"/>
      <c r="G65" s="10"/>
      <c r="H65" s="10"/>
      <c r="I65" s="10"/>
    </row>
    <row r="66" spans="3:9" ht="16.8">
      <c r="C66" s="10"/>
      <c r="D66" s="10"/>
      <c r="E66" s="10"/>
      <c r="F66" s="10"/>
      <c r="G66" s="10"/>
      <c r="H66" s="10"/>
      <c r="I66" s="10"/>
    </row>
    <row r="67" spans="3:9" ht="16.8">
      <c r="C67" s="49" t="s">
        <v>306</v>
      </c>
      <c r="D67" s="10"/>
      <c r="E67" s="10"/>
      <c r="F67" s="10"/>
      <c r="G67" s="10"/>
      <c r="H67" s="10"/>
      <c r="I67" s="10"/>
    </row>
    <row r="68" spans="3:9" ht="16.8">
      <c r="C68" s="70" t="s">
        <v>311</v>
      </c>
      <c r="D68" s="10"/>
      <c r="E68" s="10"/>
      <c r="F68" s="10"/>
      <c r="G68" s="10"/>
      <c r="H68" s="10"/>
      <c r="I68" s="10"/>
    </row>
    <row r="69" spans="3:9" ht="16.8">
      <c r="C69" s="70" t="s">
        <v>312</v>
      </c>
      <c r="D69" s="10"/>
      <c r="E69" s="10"/>
      <c r="F69" s="10"/>
      <c r="G69" s="10"/>
      <c r="H69" s="10"/>
      <c r="I69" s="10"/>
    </row>
    <row r="70" spans="3:9" ht="16.8">
      <c r="C70" s="10"/>
      <c r="D70" s="10"/>
      <c r="E70" s="10"/>
      <c r="F70" s="10"/>
      <c r="G70" s="10"/>
      <c r="H70" s="10"/>
      <c r="I70" s="10"/>
    </row>
    <row r="71" spans="3:9" ht="16.8">
      <c r="C71" s="51" t="s">
        <v>168</v>
      </c>
      <c r="D71" s="51" t="s" vm="2">
        <v>171</v>
      </c>
      <c r="E71" s="10"/>
      <c r="F71" s="10"/>
      <c r="G71" s="10"/>
      <c r="H71" s="10"/>
      <c r="I71" s="10"/>
    </row>
    <row r="72" spans="3:9" ht="16.8">
      <c r="C72" s="10"/>
      <c r="D72" s="10"/>
      <c r="E72" s="10"/>
      <c r="F72" s="10"/>
      <c r="G72" s="10"/>
      <c r="H72" s="10"/>
      <c r="I72" s="10"/>
    </row>
    <row r="73" spans="3:9" ht="16.8">
      <c r="C73" s="51" t="s">
        <v>230</v>
      </c>
      <c r="D73" s="51" t="s">
        <v>131</v>
      </c>
      <c r="E73" s="10"/>
      <c r="F73" s="10"/>
      <c r="G73" s="10"/>
      <c r="H73" s="10"/>
      <c r="I73" s="10"/>
    </row>
    <row r="74" spans="3:9" ht="16.8">
      <c r="C74" s="22" t="s">
        <v>8</v>
      </c>
      <c r="D74" s="68"/>
      <c r="E74" s="10"/>
      <c r="F74" s="10"/>
      <c r="G74" s="10"/>
      <c r="H74" s="10"/>
      <c r="I74" s="10"/>
    </row>
    <row r="75" spans="3:9" ht="16.8">
      <c r="C75" s="58" t="s">
        <v>63</v>
      </c>
      <c r="D75" s="61">
        <v>499.67499999999995</v>
      </c>
      <c r="E75" s="10"/>
      <c r="F75" s="10"/>
      <c r="G75" s="10"/>
      <c r="H75" s="10"/>
      <c r="I75" s="10"/>
    </row>
    <row r="76" spans="3:9" ht="16.8">
      <c r="C76" s="58" t="s">
        <v>64</v>
      </c>
      <c r="D76" s="61">
        <v>149.70000000000002</v>
      </c>
      <c r="E76" s="10"/>
      <c r="F76" s="10"/>
      <c r="G76" s="10"/>
      <c r="H76" s="10"/>
      <c r="I76" s="10"/>
    </row>
    <row r="77" spans="3:9" ht="16.8">
      <c r="C77" s="22" t="s">
        <v>5</v>
      </c>
      <c r="D77" s="68"/>
      <c r="E77" s="10"/>
      <c r="F77" s="10"/>
      <c r="G77" s="10"/>
      <c r="H77" s="10"/>
      <c r="I77" s="10"/>
    </row>
    <row r="78" spans="3:9" ht="16.8">
      <c r="C78" s="58" t="s">
        <v>99</v>
      </c>
      <c r="D78" s="61">
        <v>2176.3749999999995</v>
      </c>
      <c r="E78" s="10"/>
      <c r="F78" s="10"/>
      <c r="G78" s="10"/>
      <c r="H78" s="10"/>
      <c r="I78" s="10"/>
    </row>
    <row r="79" spans="3:9" ht="16.8">
      <c r="C79" s="22" t="s">
        <v>125</v>
      </c>
      <c r="D79" s="68"/>
      <c r="E79" s="10"/>
      <c r="F79" s="10"/>
      <c r="G79" s="10"/>
      <c r="H79" s="10"/>
      <c r="I79" s="10"/>
    </row>
    <row r="80" spans="3:9" ht="16.8">
      <c r="C80" s="58" t="s">
        <v>88</v>
      </c>
      <c r="D80" s="61">
        <v>4668.9999999999991</v>
      </c>
      <c r="E80" s="10"/>
      <c r="F80" s="10"/>
      <c r="G80" s="10"/>
      <c r="H80" s="10"/>
      <c r="I80" s="10"/>
    </row>
    <row r="81" spans="3:9" ht="16.8">
      <c r="C81" s="58" t="s">
        <v>97</v>
      </c>
      <c r="D81" s="61">
        <v>4001.9999999999991</v>
      </c>
      <c r="E81" s="10"/>
      <c r="F81" s="10"/>
      <c r="G81" s="10"/>
      <c r="H81" s="10"/>
      <c r="I81" s="10"/>
    </row>
    <row r="82" spans="3:9" ht="16.8">
      <c r="C82" s="58" t="s">
        <v>57</v>
      </c>
      <c r="D82" s="61">
        <v>2173.5</v>
      </c>
      <c r="E82" s="10"/>
      <c r="F82" s="10"/>
      <c r="G82" s="10"/>
      <c r="H82" s="10"/>
      <c r="I82" s="10"/>
    </row>
    <row r="83" spans="3:9" ht="16.8">
      <c r="C83" s="58" t="s">
        <v>61</v>
      </c>
      <c r="D83" s="61">
        <v>1857.0000000000002</v>
      </c>
      <c r="E83" s="10"/>
      <c r="F83" s="10"/>
      <c r="G83" s="10"/>
      <c r="H83" s="10"/>
      <c r="I83" s="10"/>
    </row>
    <row r="84" spans="3:9" ht="16.8">
      <c r="C84" s="22" t="s">
        <v>2</v>
      </c>
      <c r="D84" s="68"/>
      <c r="E84" s="10"/>
      <c r="F84" s="10"/>
      <c r="G84" s="10"/>
      <c r="H84" s="10"/>
      <c r="I84" s="10"/>
    </row>
    <row r="85" spans="3:9" ht="16.8">
      <c r="C85" s="58" t="s">
        <v>65</v>
      </c>
      <c r="D85" s="61">
        <v>862.5</v>
      </c>
      <c r="E85" s="10"/>
      <c r="F85" s="10"/>
      <c r="G85" s="10"/>
      <c r="H85" s="10"/>
      <c r="I85" s="10"/>
    </row>
    <row r="86" spans="3:9" ht="16.8">
      <c r="C86" s="58" t="s">
        <v>118</v>
      </c>
      <c r="D86" s="61">
        <v>505.99999999999994</v>
      </c>
      <c r="E86" s="10"/>
      <c r="F86" s="10"/>
      <c r="G86" s="10"/>
      <c r="H86" s="10"/>
      <c r="I86" s="10"/>
    </row>
    <row r="87" spans="3:9" ht="16.8">
      <c r="C87" s="58" t="s">
        <v>39</v>
      </c>
      <c r="D87" s="61">
        <v>355.92500000000001</v>
      </c>
      <c r="E87" s="10"/>
      <c r="F87" s="10"/>
      <c r="G87" s="10"/>
      <c r="H87" s="10"/>
      <c r="I87" s="10"/>
    </row>
    <row r="88" spans="3:9" ht="16.8">
      <c r="C88" s="58" t="s">
        <v>50</v>
      </c>
      <c r="D88" s="61">
        <v>299.69</v>
      </c>
      <c r="E88" s="10"/>
      <c r="F88" s="10"/>
      <c r="G88" s="10"/>
      <c r="H88" s="10"/>
      <c r="I88" s="10"/>
    </row>
    <row r="89" spans="3:9" ht="16.8">
      <c r="C89" s="58" t="s">
        <v>119</v>
      </c>
      <c r="D89" s="61">
        <v>241.5</v>
      </c>
      <c r="E89" s="10"/>
      <c r="F89" s="10"/>
      <c r="G89" s="10"/>
      <c r="H89" s="10"/>
      <c r="I89" s="10"/>
    </row>
    <row r="90" spans="3:9" ht="16.8">
      <c r="C90" s="58" t="s">
        <v>103</v>
      </c>
      <c r="D90" s="61">
        <v>223.56</v>
      </c>
      <c r="E90" s="10"/>
      <c r="F90" s="10"/>
      <c r="G90" s="10"/>
      <c r="H90" s="10"/>
      <c r="I90" s="10"/>
    </row>
    <row r="91" spans="3:9" ht="16.8">
      <c r="C91" s="58" t="s">
        <v>81</v>
      </c>
      <c r="D91" s="61">
        <v>168.35999999999996</v>
      </c>
      <c r="E91" s="10"/>
      <c r="F91" s="10"/>
      <c r="G91" s="10"/>
      <c r="H91" s="10"/>
      <c r="I91" s="10"/>
    </row>
    <row r="92" spans="3:9" ht="16.8">
      <c r="C92" s="58" t="s">
        <v>106</v>
      </c>
      <c r="D92" s="61">
        <v>149.04</v>
      </c>
      <c r="E92" s="10"/>
      <c r="F92" s="10"/>
      <c r="G92" s="10"/>
      <c r="H92" s="10"/>
      <c r="I92" s="10"/>
    </row>
    <row r="93" spans="3:9" ht="16.8">
      <c r="C93" s="58" t="s">
        <v>101</v>
      </c>
      <c r="D93" s="61">
        <v>132.20399999999998</v>
      </c>
      <c r="E93" s="10"/>
      <c r="F93" s="10"/>
      <c r="G93" s="10"/>
      <c r="H93" s="10"/>
      <c r="I93" s="10"/>
    </row>
    <row r="94" spans="3:9" ht="16.8">
      <c r="C94" s="58" t="s">
        <v>113</v>
      </c>
      <c r="D94" s="61">
        <v>121.99199999999999</v>
      </c>
      <c r="E94" s="10"/>
      <c r="F94" s="10"/>
      <c r="G94" s="10"/>
      <c r="H94" s="10"/>
      <c r="I94" s="10"/>
    </row>
    <row r="95" spans="3:9" ht="16.8">
      <c r="C95" s="59" t="s">
        <v>228</v>
      </c>
      <c r="D95" s="62">
        <v>18588.020999999997</v>
      </c>
      <c r="E95" s="10"/>
      <c r="F95" s="10"/>
      <c r="G95" s="10"/>
      <c r="H95" s="10"/>
      <c r="I95" s="10"/>
    </row>
    <row r="96" spans="3:9" ht="16.8">
      <c r="C96" s="10"/>
      <c r="D96" s="10"/>
      <c r="E96" s="10"/>
      <c r="F96" s="10"/>
      <c r="G96" s="10"/>
      <c r="H96" s="10"/>
      <c r="I96" s="10"/>
    </row>
    <row r="97" spans="3:9" ht="16.8">
      <c r="C97" s="30" t="s">
        <v>308</v>
      </c>
      <c r="D97" s="10"/>
      <c r="E97" s="10"/>
      <c r="F97" s="10"/>
      <c r="G97" s="10"/>
      <c r="H97" s="10"/>
      <c r="I97" s="10"/>
    </row>
    <row r="98" spans="3:9" s="50" customFormat="1" ht="16.8">
      <c r="C98" s="50" t="s">
        <v>309</v>
      </c>
    </row>
    <row r="99" spans="3:9" s="50" customFormat="1" ht="16.8">
      <c r="C99" s="50" t="s">
        <v>310</v>
      </c>
    </row>
    <row r="100" spans="3:9" ht="16.8">
      <c r="C100" s="10"/>
      <c r="D100" s="10"/>
      <c r="E100" s="10"/>
      <c r="F100" s="10"/>
      <c r="G100" s="10"/>
      <c r="H100" s="10"/>
      <c r="I100" s="10"/>
    </row>
    <row r="101" spans="3:9" ht="16.8">
      <c r="C101" s="56" t="s">
        <v>127</v>
      </c>
      <c r="D101" s="56" t="s" vm="3">
        <v>231</v>
      </c>
      <c r="E101" s="10"/>
      <c r="F101" s="10"/>
      <c r="G101" s="10"/>
      <c r="H101" s="10"/>
      <c r="I101" s="10"/>
    </row>
    <row r="102" spans="3:9" ht="16.8">
      <c r="C102" s="10"/>
      <c r="D102" s="10"/>
      <c r="E102" s="10"/>
      <c r="F102" s="10"/>
      <c r="G102" s="10"/>
      <c r="H102" s="10"/>
      <c r="I102" s="10"/>
    </row>
    <row r="103" spans="3:9" ht="16.8">
      <c r="C103" s="56" t="s">
        <v>230</v>
      </c>
      <c r="D103" s="56" t="s">
        <v>131</v>
      </c>
      <c r="E103" s="10"/>
      <c r="F103" s="10"/>
      <c r="G103" s="10"/>
      <c r="H103" s="10"/>
      <c r="I103" s="10"/>
    </row>
    <row r="104" spans="3:9" ht="16.8">
      <c r="C104" s="63" t="s">
        <v>278</v>
      </c>
      <c r="D104" s="68"/>
      <c r="E104" s="10"/>
      <c r="F104" s="10"/>
      <c r="G104" s="10"/>
      <c r="H104" s="10"/>
      <c r="I104" s="10"/>
    </row>
    <row r="105" spans="3:9" ht="16.8">
      <c r="C105" s="64" t="s">
        <v>255</v>
      </c>
      <c r="D105" s="65">
        <v>9568.9199999999983</v>
      </c>
      <c r="E105" s="10"/>
      <c r="F105" s="10"/>
      <c r="G105" s="10"/>
      <c r="H105" s="10"/>
      <c r="I105" s="10"/>
    </row>
    <row r="106" spans="3:9" ht="16.8">
      <c r="C106" s="63" t="s">
        <v>269</v>
      </c>
      <c r="D106" s="68"/>
      <c r="E106" s="10"/>
      <c r="F106" s="10"/>
      <c r="G106" s="10"/>
      <c r="H106" s="10"/>
      <c r="I106" s="10"/>
    </row>
    <row r="107" spans="3:9" ht="16.8">
      <c r="C107" s="64" t="s">
        <v>258</v>
      </c>
      <c r="D107" s="65">
        <v>9147.0195000000003</v>
      </c>
      <c r="E107" s="10"/>
      <c r="F107" s="10"/>
      <c r="G107" s="10"/>
      <c r="H107" s="10"/>
      <c r="I107" s="10"/>
    </row>
    <row r="108" spans="3:9" ht="16.8">
      <c r="C108" s="63" t="s">
        <v>279</v>
      </c>
      <c r="D108" s="68"/>
      <c r="E108" s="10"/>
      <c r="F108" s="10"/>
      <c r="G108" s="10"/>
      <c r="H108" s="10"/>
      <c r="I108" s="10"/>
    </row>
    <row r="109" spans="3:9" ht="16.8">
      <c r="C109" s="64" t="s">
        <v>255</v>
      </c>
      <c r="D109" s="65">
        <v>8570.5360000000001</v>
      </c>
      <c r="E109" s="10"/>
      <c r="F109" s="10"/>
      <c r="G109" s="10"/>
      <c r="H109" s="10"/>
      <c r="I109" s="10"/>
    </row>
    <row r="110" spans="3:9" ht="16.8">
      <c r="C110" s="63" t="s">
        <v>280</v>
      </c>
      <c r="D110" s="68"/>
      <c r="E110" s="10"/>
      <c r="F110" s="10"/>
      <c r="G110" s="10"/>
      <c r="H110" s="10"/>
      <c r="I110" s="10"/>
    </row>
    <row r="111" spans="3:9" ht="16.8">
      <c r="C111" s="64" t="s">
        <v>258</v>
      </c>
      <c r="D111" s="65">
        <v>8286.9575000000004</v>
      </c>
      <c r="E111" s="10"/>
      <c r="F111" s="10"/>
      <c r="G111" s="10"/>
      <c r="H111" s="10"/>
      <c r="I111" s="10"/>
    </row>
    <row r="112" spans="3:9" ht="16.8">
      <c r="C112" s="63" t="s">
        <v>272</v>
      </c>
      <c r="D112" s="68"/>
      <c r="E112" s="10"/>
      <c r="F112" s="10"/>
      <c r="G112" s="10"/>
      <c r="H112" s="10"/>
      <c r="I112" s="10"/>
    </row>
    <row r="113" spans="3:9" ht="16.8">
      <c r="C113" s="64" t="s">
        <v>261</v>
      </c>
      <c r="D113" s="65">
        <v>6184.4744999999994</v>
      </c>
      <c r="E113" s="10"/>
      <c r="F113" s="10"/>
      <c r="G113" s="10"/>
      <c r="H113" s="10"/>
      <c r="I113" s="10"/>
    </row>
    <row r="114" spans="3:9" ht="16.8">
      <c r="C114" s="63" t="s">
        <v>271</v>
      </c>
      <c r="D114" s="68"/>
      <c r="E114" s="10"/>
      <c r="F114" s="10"/>
      <c r="G114" s="10"/>
      <c r="H114" s="10"/>
      <c r="I114" s="10"/>
    </row>
    <row r="115" spans="3:9" ht="16.8">
      <c r="C115" s="64" t="s">
        <v>260</v>
      </c>
      <c r="D115" s="65">
        <v>5563.5274999999965</v>
      </c>
      <c r="E115" s="10"/>
      <c r="F115" s="10"/>
      <c r="G115" s="10"/>
      <c r="H115" s="10"/>
      <c r="I115" s="10"/>
    </row>
    <row r="116" spans="3:9" ht="16.8">
      <c r="C116" s="63" t="s">
        <v>277</v>
      </c>
      <c r="D116" s="68"/>
      <c r="E116" s="10"/>
      <c r="F116" s="10"/>
      <c r="G116" s="10"/>
      <c r="H116" s="10"/>
      <c r="I116" s="10"/>
    </row>
    <row r="117" spans="3:9" ht="16.8">
      <c r="C117" s="64" t="s">
        <v>257</v>
      </c>
      <c r="D117" s="65">
        <v>5531.2430000000004</v>
      </c>
      <c r="E117" s="10"/>
      <c r="F117" s="10"/>
      <c r="G117" s="10"/>
      <c r="H117" s="10"/>
      <c r="I117" s="10"/>
    </row>
    <row r="118" spans="3:9" ht="16.8">
      <c r="C118" s="63" t="s">
        <v>281</v>
      </c>
      <c r="D118" s="68"/>
      <c r="E118" s="10"/>
      <c r="F118" s="10"/>
      <c r="G118" s="10"/>
      <c r="H118" s="10"/>
      <c r="I118" s="10"/>
    </row>
    <row r="119" spans="3:9" ht="16.8">
      <c r="C119" s="64" t="s">
        <v>263</v>
      </c>
      <c r="D119" s="65">
        <v>4475.3514999999989</v>
      </c>
      <c r="E119" s="10"/>
      <c r="F119" s="10"/>
      <c r="G119" s="10"/>
      <c r="H119" s="10"/>
      <c r="I119" s="10"/>
    </row>
    <row r="120" spans="3:9" ht="16.8">
      <c r="C120" s="63" t="s">
        <v>267</v>
      </c>
      <c r="D120" s="68"/>
      <c r="E120" s="10"/>
      <c r="F120" s="10"/>
      <c r="G120" s="10"/>
      <c r="H120" s="10"/>
      <c r="I120" s="10"/>
    </row>
    <row r="121" spans="3:9" ht="16.8">
      <c r="C121" s="64" t="s">
        <v>256</v>
      </c>
      <c r="D121" s="65">
        <v>4427.8864999999987</v>
      </c>
      <c r="E121" s="10"/>
      <c r="F121" s="10"/>
      <c r="G121" s="10"/>
      <c r="H121" s="10"/>
      <c r="I121" s="10"/>
    </row>
    <row r="122" spans="3:9" ht="16.8">
      <c r="C122" s="63" t="s">
        <v>266</v>
      </c>
      <c r="D122" s="68"/>
      <c r="E122" s="10"/>
      <c r="F122" s="10"/>
      <c r="G122" s="10"/>
      <c r="H122" s="10"/>
      <c r="I122" s="10"/>
    </row>
    <row r="123" spans="3:9" ht="16.8">
      <c r="C123" s="64" t="s">
        <v>263</v>
      </c>
      <c r="D123" s="65">
        <v>4355.8434999999999</v>
      </c>
      <c r="E123" s="10"/>
      <c r="F123" s="10"/>
      <c r="G123" s="10"/>
      <c r="H123" s="10"/>
      <c r="I123" s="10"/>
    </row>
    <row r="124" spans="3:9" ht="16.8">
      <c r="C124" s="63" t="s">
        <v>265</v>
      </c>
      <c r="D124" s="68"/>
      <c r="E124" s="10"/>
      <c r="F124" s="10"/>
      <c r="G124" s="10"/>
      <c r="H124" s="10"/>
      <c r="I124" s="10"/>
    </row>
    <row r="125" spans="3:9" ht="16.8">
      <c r="C125" s="64" t="s">
        <v>255</v>
      </c>
      <c r="D125" s="65">
        <v>3692.1324999999997</v>
      </c>
      <c r="E125" s="10"/>
      <c r="F125" s="10"/>
      <c r="G125" s="10"/>
      <c r="H125" s="10"/>
      <c r="I125" s="10"/>
    </row>
    <row r="126" spans="3:9" ht="16.8">
      <c r="C126" s="63" t="s">
        <v>276</v>
      </c>
      <c r="D126" s="68"/>
      <c r="E126" s="10"/>
      <c r="F126" s="10"/>
      <c r="G126" s="10"/>
      <c r="H126" s="10"/>
      <c r="I126" s="10"/>
    </row>
    <row r="127" spans="3:9" ht="16.8">
      <c r="C127" s="64" t="s">
        <v>262</v>
      </c>
      <c r="D127" s="65">
        <v>2939.2850000000003</v>
      </c>
      <c r="E127" s="10"/>
      <c r="F127" s="10"/>
      <c r="G127" s="10"/>
      <c r="H127" s="10"/>
      <c r="I127" s="10"/>
    </row>
    <row r="128" spans="3:9" ht="16.8">
      <c r="C128" s="63" t="s">
        <v>275</v>
      </c>
      <c r="D128" s="68"/>
      <c r="E128" s="10"/>
      <c r="F128" s="10"/>
      <c r="G128" s="10"/>
      <c r="H128" s="10"/>
      <c r="I128" s="10"/>
    </row>
    <row r="129" spans="3:9" ht="16.8">
      <c r="C129" s="64" t="s">
        <v>263</v>
      </c>
      <c r="D129" s="65">
        <v>1953.7465000000002</v>
      </c>
      <c r="E129" s="10"/>
      <c r="F129" s="10"/>
      <c r="G129" s="10"/>
      <c r="H129" s="10"/>
      <c r="I129" s="10"/>
    </row>
    <row r="130" spans="3:9" ht="16.8">
      <c r="C130" s="63" t="s">
        <v>274</v>
      </c>
      <c r="D130" s="68"/>
      <c r="E130" s="10"/>
      <c r="F130" s="10"/>
      <c r="G130" s="10"/>
      <c r="H130" s="10"/>
      <c r="I130" s="10"/>
    </row>
    <row r="131" spans="3:9" ht="16.8">
      <c r="C131" s="64" t="s">
        <v>262</v>
      </c>
      <c r="D131" s="65">
        <v>1696.135</v>
      </c>
      <c r="E131" s="10"/>
      <c r="F131" s="10"/>
      <c r="G131" s="10"/>
      <c r="H131" s="10"/>
      <c r="I131" s="10"/>
    </row>
    <row r="132" spans="3:9" ht="16.8">
      <c r="C132" s="63" t="s">
        <v>284</v>
      </c>
      <c r="D132" s="68"/>
      <c r="E132" s="10"/>
      <c r="F132" s="10"/>
      <c r="G132" s="10"/>
      <c r="H132" s="10"/>
      <c r="I132" s="10"/>
    </row>
    <row r="133" spans="3:9" ht="16.8">
      <c r="C133" s="64" t="s">
        <v>264</v>
      </c>
      <c r="D133" s="65">
        <v>838.78699999999992</v>
      </c>
      <c r="E133" s="10"/>
      <c r="F133" s="10"/>
      <c r="G133" s="10"/>
      <c r="H133" s="10"/>
      <c r="I133" s="10"/>
    </row>
    <row r="134" spans="3:9" ht="16.8">
      <c r="C134" s="63" t="s">
        <v>285</v>
      </c>
      <c r="D134" s="68"/>
      <c r="E134" s="10"/>
      <c r="F134" s="10"/>
      <c r="G134" s="10"/>
      <c r="H134" s="10"/>
      <c r="I134" s="10"/>
    </row>
    <row r="135" spans="3:9" ht="16.8">
      <c r="C135" s="64" t="s">
        <v>257</v>
      </c>
      <c r="D135" s="65">
        <v>793.71849999999984</v>
      </c>
      <c r="E135" s="10"/>
      <c r="F135" s="10"/>
      <c r="G135" s="10"/>
      <c r="H135" s="10"/>
      <c r="I135" s="10"/>
    </row>
    <row r="136" spans="3:9" ht="16.8">
      <c r="C136" s="63" t="s">
        <v>273</v>
      </c>
      <c r="D136" s="68"/>
      <c r="E136" s="10"/>
      <c r="F136" s="10"/>
      <c r="G136" s="10"/>
      <c r="H136" s="10"/>
      <c r="I136" s="10"/>
    </row>
    <row r="137" spans="3:9" ht="16.8">
      <c r="C137" s="64" t="s">
        <v>264</v>
      </c>
      <c r="D137" s="65">
        <v>705.23749999999995</v>
      </c>
      <c r="E137" s="10"/>
      <c r="F137" s="10"/>
      <c r="G137" s="10"/>
      <c r="H137" s="10"/>
      <c r="I137" s="10"/>
    </row>
    <row r="138" spans="3:9" ht="16.8">
      <c r="C138" s="63" t="s">
        <v>270</v>
      </c>
      <c r="D138" s="68"/>
      <c r="E138" s="10"/>
      <c r="F138" s="10"/>
      <c r="G138" s="10"/>
      <c r="H138" s="10"/>
      <c r="I138" s="10"/>
    </row>
    <row r="139" spans="3:9" ht="16.8">
      <c r="C139" s="64" t="s">
        <v>259</v>
      </c>
      <c r="D139" s="65">
        <v>704.58200000000011</v>
      </c>
      <c r="E139" s="10"/>
      <c r="F139" s="10"/>
      <c r="G139" s="10"/>
      <c r="H139" s="10"/>
      <c r="I139" s="10"/>
    </row>
    <row r="140" spans="3:9" ht="16.8">
      <c r="C140" s="63" t="s">
        <v>268</v>
      </c>
      <c r="D140" s="68"/>
      <c r="E140" s="10"/>
      <c r="F140" s="10"/>
      <c r="G140" s="10"/>
      <c r="H140" s="10"/>
      <c r="I140" s="10"/>
    </row>
    <row r="141" spans="3:9" ht="16.8">
      <c r="C141" s="64" t="s">
        <v>257</v>
      </c>
      <c r="D141" s="65">
        <v>635.89250000000004</v>
      </c>
      <c r="E141" s="10"/>
      <c r="F141" s="10"/>
      <c r="G141" s="10"/>
      <c r="H141" s="10"/>
      <c r="I141" s="10"/>
    </row>
    <row r="142" spans="3:9" ht="16.8">
      <c r="C142" s="63" t="s">
        <v>283</v>
      </c>
      <c r="D142" s="68"/>
      <c r="E142" s="10"/>
      <c r="F142" s="10"/>
      <c r="G142" s="10"/>
      <c r="H142" s="10"/>
      <c r="I142" s="10"/>
    </row>
    <row r="143" spans="3:9" ht="16.8">
      <c r="C143" s="64" t="s">
        <v>286</v>
      </c>
      <c r="D143" s="65">
        <v>516.47649999999999</v>
      </c>
      <c r="E143" s="10"/>
      <c r="F143" s="10"/>
      <c r="G143" s="10"/>
      <c r="H143" s="10"/>
      <c r="I143" s="10"/>
    </row>
    <row r="144" spans="3:9" ht="16.8">
      <c r="C144" s="63" t="s">
        <v>282</v>
      </c>
      <c r="D144" s="68"/>
      <c r="E144" s="10"/>
      <c r="F144" s="10"/>
      <c r="G144" s="10"/>
      <c r="H144" s="10"/>
      <c r="I144" s="10"/>
    </row>
    <row r="145" spans="3:9" ht="16.8">
      <c r="C145" s="64" t="s">
        <v>259</v>
      </c>
      <c r="D145" s="65">
        <v>443.95</v>
      </c>
      <c r="E145" s="10"/>
      <c r="F145" s="10"/>
      <c r="G145" s="10"/>
      <c r="H145" s="10"/>
      <c r="I145" s="10"/>
    </row>
    <row r="146" spans="3:9" ht="16.8">
      <c r="C146" s="66" t="s">
        <v>228</v>
      </c>
      <c r="D146" s="67">
        <v>81031.702499999883</v>
      </c>
      <c r="E146" s="10"/>
      <c r="F146" s="10"/>
      <c r="G146" s="10"/>
      <c r="H146" s="10"/>
      <c r="I146" s="10"/>
    </row>
    <row r="147" spans="3:9" ht="16.8">
      <c r="E147" s="10"/>
      <c r="F147" s="10"/>
      <c r="G147" s="10"/>
      <c r="H147" s="10"/>
      <c r="I147" s="10"/>
    </row>
    <row r="148" spans="3:9" ht="16.8">
      <c r="C148" s="10"/>
      <c r="D148" s="10"/>
      <c r="E148" s="10"/>
      <c r="F148" s="10"/>
      <c r="G148" s="10"/>
      <c r="H148" s="10"/>
      <c r="I148" s="10"/>
    </row>
    <row r="149" spans="3:9" ht="16.8">
      <c r="C149" s="10"/>
      <c r="D149" s="10"/>
      <c r="E149" s="10"/>
      <c r="F149" s="10"/>
      <c r="G149" s="10"/>
      <c r="H149" s="10"/>
      <c r="I149" s="10"/>
    </row>
    <row r="150" spans="3:9" ht="16.8">
      <c r="C150" s="10"/>
      <c r="D150" s="10"/>
      <c r="E150" s="10"/>
      <c r="F150" s="10"/>
      <c r="G150" s="10"/>
      <c r="H150" s="10"/>
      <c r="I150" s="10"/>
    </row>
    <row r="151" spans="3:9" ht="16.8">
      <c r="C151" s="10"/>
      <c r="D151" s="10"/>
      <c r="E151" s="10"/>
      <c r="F151" s="10"/>
      <c r="G151" s="10"/>
      <c r="H151" s="10"/>
      <c r="I151" s="10"/>
    </row>
    <row r="152" spans="3:9" ht="16.8">
      <c r="C152" s="10"/>
      <c r="D152" s="10"/>
      <c r="E152" s="10"/>
      <c r="F152" s="10"/>
      <c r="G152" s="10"/>
      <c r="H152" s="10"/>
      <c r="I152" s="10"/>
    </row>
    <row r="153" spans="3:9" ht="16.8">
      <c r="C153" s="10"/>
      <c r="D153" s="10"/>
      <c r="E153" s="10"/>
      <c r="F153" s="10"/>
      <c r="G153" s="10"/>
      <c r="H153" s="10"/>
      <c r="I153" s="10"/>
    </row>
    <row r="154" spans="3:9" ht="16.8">
      <c r="C154" s="10"/>
      <c r="D154" s="10"/>
      <c r="E154" s="10"/>
      <c r="F154" s="10"/>
      <c r="G154" s="10"/>
      <c r="H154" s="10"/>
      <c r="I154" s="10"/>
    </row>
    <row r="155" spans="3:9" ht="16.8">
      <c r="C155" s="10"/>
      <c r="D155" s="10"/>
      <c r="E155" s="10"/>
      <c r="F155" s="10"/>
      <c r="G155" s="10"/>
      <c r="H155" s="10"/>
      <c r="I155" s="10"/>
    </row>
    <row r="156" spans="3:9" ht="16.8">
      <c r="C156" s="10"/>
      <c r="D156" s="10"/>
      <c r="E156" s="10"/>
      <c r="F156" s="10"/>
      <c r="G156" s="10"/>
      <c r="H156" s="10"/>
      <c r="I156" s="10"/>
    </row>
    <row r="157" spans="3:9" ht="16.8">
      <c r="C157" s="10"/>
      <c r="D157" s="10"/>
      <c r="E157" s="10"/>
      <c r="F157" s="10"/>
      <c r="G157" s="10"/>
      <c r="H157" s="10"/>
      <c r="I157" s="10"/>
    </row>
    <row r="158" spans="3:9" ht="16.8">
      <c r="C158" s="10"/>
      <c r="D158" s="10"/>
      <c r="E158" s="10"/>
      <c r="F158" s="10"/>
      <c r="G158" s="10"/>
      <c r="H158" s="10"/>
      <c r="I158" s="10"/>
    </row>
    <row r="159" spans="3:9" ht="16.8">
      <c r="C159" s="10"/>
      <c r="D159" s="10"/>
      <c r="E159" s="10"/>
      <c r="F159" s="10"/>
      <c r="G159" s="10"/>
      <c r="H159" s="10"/>
      <c r="I159" s="10"/>
    </row>
    <row r="160" spans="3:9" ht="16.8">
      <c r="C160" s="10"/>
      <c r="D160" s="10"/>
      <c r="E160" s="10"/>
      <c r="F160" s="10"/>
      <c r="G160" s="10"/>
      <c r="H160" s="10"/>
      <c r="I160" s="10"/>
    </row>
    <row r="161" spans="3:9" ht="16.8">
      <c r="C161" s="10"/>
      <c r="D161" s="10"/>
      <c r="E161" s="10"/>
      <c r="F161" s="10"/>
      <c r="G161" s="10"/>
      <c r="H161" s="10"/>
      <c r="I161" s="10"/>
    </row>
    <row r="162" spans="3:9" ht="16.8">
      <c r="C162" s="10"/>
      <c r="D162" s="10"/>
      <c r="E162" s="10"/>
      <c r="F162" s="10"/>
      <c r="G162" s="10"/>
      <c r="H162" s="10"/>
      <c r="I162" s="10"/>
    </row>
    <row r="163" spans="3:9" ht="16.8">
      <c r="C163" s="10"/>
      <c r="D163" s="10"/>
      <c r="E163" s="10"/>
      <c r="F163" s="10"/>
      <c r="G163" s="10"/>
      <c r="H163" s="10"/>
      <c r="I163" s="10"/>
    </row>
    <row r="164" spans="3:9" ht="16.8">
      <c r="C164" s="10"/>
      <c r="D164" s="10"/>
      <c r="E164" s="10"/>
      <c r="F164" s="10"/>
      <c r="G164" s="10"/>
      <c r="H164" s="10"/>
      <c r="I164" s="10"/>
    </row>
    <row r="165" spans="3:9" ht="16.8">
      <c r="C165" s="10"/>
      <c r="D165" s="10"/>
      <c r="E165" s="10"/>
      <c r="F165" s="10"/>
      <c r="G165" s="10"/>
      <c r="H165" s="10"/>
      <c r="I165" s="10"/>
    </row>
    <row r="166" spans="3:9" ht="16.8">
      <c r="C166" s="10"/>
      <c r="D166" s="10"/>
      <c r="E166" s="10"/>
      <c r="F166" s="10"/>
      <c r="G166" s="10"/>
      <c r="H166" s="10"/>
      <c r="I166" s="10"/>
    </row>
    <row r="167" spans="3:9" ht="16.8">
      <c r="C167" s="10"/>
      <c r="D167" s="10"/>
      <c r="E167" s="10"/>
      <c r="F167" s="10"/>
      <c r="G167" s="10"/>
      <c r="H167" s="10"/>
      <c r="I167" s="10"/>
    </row>
    <row r="168" spans="3:9" ht="16.8">
      <c r="C168" s="10"/>
      <c r="D168" s="10"/>
      <c r="E168" s="10"/>
      <c r="F168" s="10"/>
      <c r="G168" s="10"/>
      <c r="H168" s="10"/>
      <c r="I168" s="10"/>
    </row>
    <row r="169" spans="3:9" ht="16.8">
      <c r="C169" s="10"/>
      <c r="D169" s="10"/>
      <c r="E169" s="10"/>
      <c r="F169" s="10"/>
      <c r="G169" s="10"/>
      <c r="H169" s="10"/>
      <c r="I169" s="10"/>
    </row>
    <row r="170" spans="3:9" ht="16.8">
      <c r="C170" s="10"/>
      <c r="D170" s="10"/>
      <c r="E170" s="10"/>
      <c r="F170" s="10"/>
      <c r="G170" s="10"/>
      <c r="H170" s="10"/>
      <c r="I170" s="10"/>
    </row>
    <row r="171" spans="3:9" ht="16.8">
      <c r="C171" s="10"/>
      <c r="D171" s="10"/>
      <c r="E171" s="10"/>
      <c r="F171" s="10"/>
      <c r="G171" s="10"/>
      <c r="H171" s="10"/>
      <c r="I171" s="10"/>
    </row>
    <row r="172" spans="3:9" ht="16.8">
      <c r="C172" s="10"/>
      <c r="D172" s="10"/>
      <c r="E172" s="10"/>
      <c r="F172" s="10"/>
      <c r="G172" s="10"/>
      <c r="H172" s="10"/>
      <c r="I172" s="10"/>
    </row>
    <row r="173" spans="3:9" ht="16.8">
      <c r="C173" s="10"/>
      <c r="D173" s="10"/>
      <c r="E173" s="10"/>
      <c r="F173" s="10"/>
      <c r="G173" s="10"/>
      <c r="H173" s="10"/>
      <c r="I173" s="10"/>
    </row>
    <row r="174" spans="3:9" ht="16.8">
      <c r="C174" s="10"/>
      <c r="D174" s="10"/>
      <c r="E174" s="10"/>
      <c r="F174" s="10"/>
      <c r="G174" s="10"/>
      <c r="H174" s="10"/>
      <c r="I174" s="10"/>
    </row>
    <row r="175" spans="3:9" ht="16.8">
      <c r="C175" s="10"/>
      <c r="D175" s="10"/>
      <c r="E175" s="10"/>
      <c r="F175" s="10"/>
      <c r="G175" s="10"/>
      <c r="H175" s="10"/>
      <c r="I175" s="10"/>
    </row>
    <row r="176" spans="3:9" ht="16.8">
      <c r="C176" s="10"/>
      <c r="D176" s="10"/>
      <c r="E176" s="10"/>
      <c r="F176" s="10"/>
      <c r="G176" s="10"/>
      <c r="H176" s="10"/>
      <c r="I176" s="10"/>
    </row>
    <row r="177" spans="3:9" ht="16.8">
      <c r="C177" s="10"/>
      <c r="D177" s="10"/>
      <c r="E177" s="10"/>
      <c r="F177" s="10"/>
      <c r="G177" s="10"/>
      <c r="H177" s="10"/>
      <c r="I177" s="10"/>
    </row>
    <row r="178" spans="3:9" ht="16.8">
      <c r="C178" s="10"/>
      <c r="D178" s="10"/>
      <c r="E178" s="10"/>
      <c r="F178" s="10"/>
      <c r="G178" s="10"/>
      <c r="H178" s="10"/>
      <c r="I178" s="10"/>
    </row>
    <row r="179" spans="3:9" ht="16.8">
      <c r="C179" s="10"/>
      <c r="D179" s="10"/>
      <c r="E179" s="10"/>
      <c r="F179" s="10"/>
      <c r="G179" s="10"/>
      <c r="H179" s="10"/>
      <c r="I179" s="10"/>
    </row>
    <row r="180" spans="3:9" ht="16.8">
      <c r="C180" s="10"/>
      <c r="D180" s="10"/>
      <c r="E180" s="10"/>
      <c r="F180" s="10"/>
      <c r="G180" s="10"/>
      <c r="H180" s="10"/>
      <c r="I180" s="10"/>
    </row>
    <row r="181" spans="3:9" ht="16.8">
      <c r="C181" s="10"/>
      <c r="D181" s="10"/>
      <c r="E181" s="10"/>
      <c r="F181" s="10"/>
      <c r="G181" s="10"/>
      <c r="H181" s="10"/>
      <c r="I181" s="10"/>
    </row>
    <row r="182" spans="3:9" ht="16.8">
      <c r="C182" s="10"/>
      <c r="D182" s="10"/>
      <c r="E182" s="10"/>
      <c r="F182" s="10"/>
      <c r="G182" s="10"/>
      <c r="H182" s="10"/>
      <c r="I182" s="10"/>
    </row>
    <row r="183" spans="3:9" ht="16.8">
      <c r="C183" s="10"/>
      <c r="D183" s="10"/>
      <c r="E183" s="10"/>
      <c r="F183" s="10"/>
      <c r="G183" s="10"/>
      <c r="H183" s="10"/>
      <c r="I183" s="10"/>
    </row>
    <row r="184" spans="3:9" ht="16.8">
      <c r="C184" s="10"/>
      <c r="D184" s="10"/>
      <c r="E184" s="10"/>
      <c r="F184" s="10"/>
      <c r="G184" s="10"/>
      <c r="H184" s="10"/>
      <c r="I184" s="10"/>
    </row>
    <row r="185" spans="3:9" ht="16.8">
      <c r="C185" s="10"/>
      <c r="D185" s="10"/>
      <c r="E185" s="10"/>
      <c r="F185" s="10"/>
      <c r="G185" s="10"/>
      <c r="H185" s="10"/>
      <c r="I185" s="10"/>
    </row>
    <row r="186" spans="3:9" ht="16.8">
      <c r="C186" s="10"/>
      <c r="D186" s="10"/>
      <c r="E186" s="10"/>
      <c r="F186" s="10"/>
      <c r="G186" s="10"/>
      <c r="H186" s="10"/>
      <c r="I186" s="10"/>
    </row>
    <row r="187" spans="3:9" ht="16.8">
      <c r="C187" s="10"/>
      <c r="D187" s="10"/>
      <c r="E187" s="10"/>
      <c r="F187" s="10"/>
      <c r="G187" s="10"/>
      <c r="H187" s="10"/>
      <c r="I187" s="10"/>
    </row>
    <row r="188" spans="3:9" ht="16.8">
      <c r="C188" s="10"/>
      <c r="D188" s="10"/>
      <c r="E188" s="10"/>
      <c r="F188" s="10"/>
      <c r="G188" s="10"/>
      <c r="H188" s="10"/>
      <c r="I188" s="10"/>
    </row>
    <row r="189" spans="3:9" ht="16.8">
      <c r="C189" s="10"/>
      <c r="D189" s="10"/>
      <c r="E189" s="10"/>
      <c r="F189" s="10"/>
      <c r="G189" s="10"/>
      <c r="H189" s="10"/>
      <c r="I189" s="10"/>
    </row>
    <row r="190" spans="3:9" ht="16.8">
      <c r="C190" s="10"/>
      <c r="D190" s="10"/>
      <c r="E190" s="10"/>
      <c r="F190" s="10"/>
      <c r="G190" s="10"/>
      <c r="H190" s="10"/>
      <c r="I190" s="10"/>
    </row>
    <row r="191" spans="3:9" ht="16.8">
      <c r="C191" s="10"/>
      <c r="D191" s="10"/>
      <c r="E191" s="10"/>
      <c r="F191" s="10"/>
      <c r="G191" s="10"/>
      <c r="H191" s="10"/>
      <c r="I191" s="10"/>
    </row>
    <row r="192" spans="3:9" ht="16.8">
      <c r="C192" s="10"/>
      <c r="D192" s="10"/>
      <c r="E192" s="10"/>
      <c r="F192" s="10"/>
      <c r="G192" s="10"/>
      <c r="H192" s="10"/>
      <c r="I192" s="10"/>
    </row>
    <row r="193" spans="3:9" ht="16.8">
      <c r="C193" s="10"/>
      <c r="D193" s="10"/>
      <c r="E193" s="10"/>
      <c r="F193" s="10"/>
      <c r="G193" s="10"/>
      <c r="H193" s="10"/>
      <c r="I193" s="10"/>
    </row>
    <row r="194" spans="3:9" ht="16.8">
      <c r="C194" s="10"/>
      <c r="D194" s="10"/>
      <c r="E194" s="10"/>
      <c r="F194" s="10"/>
      <c r="G194" s="10"/>
      <c r="H194" s="10"/>
      <c r="I194" s="10"/>
    </row>
    <row r="195" spans="3:9" ht="16.8">
      <c r="C195" s="10"/>
      <c r="D195" s="10"/>
      <c r="E195" s="10"/>
      <c r="F195" s="10"/>
      <c r="G195" s="10"/>
      <c r="H195" s="10"/>
      <c r="I195" s="10"/>
    </row>
    <row r="196" spans="3:9" ht="16.8">
      <c r="C196" s="10"/>
      <c r="D196" s="10"/>
      <c r="E196" s="10"/>
      <c r="F196" s="10"/>
      <c r="G196" s="10"/>
      <c r="H196" s="10"/>
      <c r="I196" s="10"/>
    </row>
    <row r="197" spans="3:9" ht="16.8">
      <c r="C197" s="10"/>
      <c r="D197" s="10"/>
      <c r="E197" s="10"/>
      <c r="F197" s="10"/>
      <c r="G197" s="10"/>
      <c r="H197" s="10"/>
      <c r="I197" s="10"/>
    </row>
  </sheetData>
  <pageMargins left="0.511811024" right="0.511811024" top="0.78740157499999996" bottom="0.78740157499999996" header="0.31496062000000002" footer="0.31496062000000002"/>
  <pageSetup paperSize="9" orientation="portrait" r:id="rId8"/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CF4F-9294-4330-996C-16A8B40ADC57}">
  <dimension ref="A1:A73"/>
  <sheetViews>
    <sheetView showGridLines="0" topLeftCell="A16" workbookViewId="0">
      <selection activeCell="A39" sqref="A39:H44"/>
    </sheetView>
  </sheetViews>
  <sheetFormatPr defaultRowHeight="13.8"/>
  <sheetData>
    <row r="1" spans="1:1" ht="17.399999999999999">
      <c r="A1" s="32" t="s">
        <v>140</v>
      </c>
    </row>
    <row r="3" spans="1:1">
      <c r="A3" t="s">
        <v>141</v>
      </c>
    </row>
    <row r="4" spans="1:1">
      <c r="A4" s="33"/>
    </row>
    <row r="5" spans="1:1">
      <c r="A5" s="34" t="s">
        <v>142</v>
      </c>
    </row>
    <row r="6" spans="1:1">
      <c r="A6" s="33"/>
    </row>
    <row r="7" spans="1:1">
      <c r="A7" s="33"/>
    </row>
    <row r="8" spans="1:1">
      <c r="A8" s="35"/>
    </row>
    <row r="9" spans="1:1">
      <c r="A9" s="36" t="s">
        <v>143</v>
      </c>
    </row>
    <row r="10" spans="1:1">
      <c r="A10" s="35"/>
    </row>
    <row r="11" spans="1:1">
      <c r="A11" s="36" t="s">
        <v>144</v>
      </c>
    </row>
    <row r="12" spans="1:1">
      <c r="A12" s="33"/>
    </row>
    <row r="13" spans="1:1">
      <c r="A13" s="34" t="s">
        <v>145</v>
      </c>
    </row>
    <row r="14" spans="1:1">
      <c r="A14" s="33"/>
    </row>
    <row r="15" spans="1:1">
      <c r="A15" s="33"/>
    </row>
    <row r="16" spans="1:1">
      <c r="A16" s="35"/>
    </row>
    <row r="17" spans="1:1">
      <c r="A17" s="36" t="s">
        <v>146</v>
      </c>
    </row>
    <row r="18" spans="1:1">
      <c r="A18" s="35"/>
    </row>
    <row r="19" spans="1:1">
      <c r="A19" s="36" t="s">
        <v>147</v>
      </c>
    </row>
    <row r="20" spans="1:1">
      <c r="A20" s="33"/>
    </row>
    <row r="21" spans="1:1">
      <c r="A21" s="34" t="s">
        <v>148</v>
      </c>
    </row>
    <row r="22" spans="1:1">
      <c r="A22" s="33"/>
    </row>
    <row r="23" spans="1:1">
      <c r="A23" s="33"/>
    </row>
    <row r="24" spans="1:1">
      <c r="A24" s="35"/>
    </row>
    <row r="25" spans="1:1">
      <c r="A25" s="36" t="s">
        <v>149</v>
      </c>
    </row>
    <row r="26" spans="1:1">
      <c r="A26" s="35"/>
    </row>
    <row r="27" spans="1:1">
      <c r="A27" s="36" t="s">
        <v>150</v>
      </c>
    </row>
    <row r="28" spans="1:1">
      <c r="A28" s="33"/>
    </row>
    <row r="29" spans="1:1">
      <c r="A29" s="34" t="s">
        <v>151</v>
      </c>
    </row>
    <row r="30" spans="1:1">
      <c r="A30" s="33"/>
    </row>
    <row r="31" spans="1:1">
      <c r="A31" s="33"/>
    </row>
    <row r="32" spans="1:1">
      <c r="A32" s="35"/>
    </row>
    <row r="33" spans="1:1">
      <c r="A33" s="36" t="s">
        <v>152</v>
      </c>
    </row>
    <row r="34" spans="1:1">
      <c r="A34" s="35"/>
    </row>
    <row r="35" spans="1:1">
      <c r="A35" s="36" t="s">
        <v>153</v>
      </c>
    </row>
    <row r="39" spans="1:1" ht="17.399999999999999">
      <c r="A39" s="32" t="s">
        <v>154</v>
      </c>
    </row>
    <row r="41" spans="1:1">
      <c r="A41" t="s">
        <v>155</v>
      </c>
    </row>
    <row r="42" spans="1:1">
      <c r="A42" s="33"/>
    </row>
    <row r="43" spans="1:1">
      <c r="A43" s="34" t="s">
        <v>156</v>
      </c>
    </row>
    <row r="44" spans="1:1">
      <c r="A44" s="33"/>
    </row>
    <row r="45" spans="1:1">
      <c r="A45" s="33"/>
    </row>
    <row r="46" spans="1:1">
      <c r="A46" s="35"/>
    </row>
    <row r="47" spans="1:1">
      <c r="A47" s="36" t="s">
        <v>157</v>
      </c>
    </row>
    <row r="48" spans="1:1">
      <c r="A48" s="35"/>
    </row>
    <row r="49" spans="1:1">
      <c r="A49" s="36" t="s">
        <v>158</v>
      </c>
    </row>
    <row r="50" spans="1:1">
      <c r="A50" s="33"/>
    </row>
    <row r="51" spans="1:1">
      <c r="A51" s="34" t="s">
        <v>159</v>
      </c>
    </row>
    <row r="52" spans="1:1">
      <c r="A52" s="33"/>
    </row>
    <row r="53" spans="1:1">
      <c r="A53" s="33"/>
    </row>
    <row r="54" spans="1:1">
      <c r="A54" s="35"/>
    </row>
    <row r="55" spans="1:1">
      <c r="A55" s="36" t="s">
        <v>160</v>
      </c>
    </row>
    <row r="56" spans="1:1">
      <c r="A56" s="35"/>
    </row>
    <row r="57" spans="1:1">
      <c r="A57" s="36" t="s">
        <v>161</v>
      </c>
    </row>
    <row r="58" spans="1:1">
      <c r="A58" s="33"/>
    </row>
    <row r="59" spans="1:1">
      <c r="A59" s="34" t="s">
        <v>162</v>
      </c>
    </row>
    <row r="60" spans="1:1">
      <c r="A60" s="33"/>
    </row>
    <row r="61" spans="1:1">
      <c r="A61" s="33"/>
    </row>
    <row r="62" spans="1:1">
      <c r="A62" s="35"/>
    </row>
    <row r="63" spans="1:1">
      <c r="A63" s="36" t="s">
        <v>163</v>
      </c>
    </row>
    <row r="64" spans="1:1">
      <c r="A64" s="35"/>
    </row>
    <row r="65" spans="1:1">
      <c r="A65" s="36" t="s">
        <v>164</v>
      </c>
    </row>
    <row r="66" spans="1:1">
      <c r="A66" s="33"/>
    </row>
    <row r="67" spans="1:1">
      <c r="A67" s="34" t="s">
        <v>165</v>
      </c>
    </row>
    <row r="68" spans="1:1">
      <c r="A68" s="33"/>
    </row>
    <row r="69" spans="1:1">
      <c r="A69" s="33"/>
    </row>
    <row r="70" spans="1:1">
      <c r="A70" s="35"/>
    </row>
    <row r="71" spans="1:1">
      <c r="A71" s="36" t="s">
        <v>166</v>
      </c>
    </row>
    <row r="72" spans="1:1">
      <c r="A72" s="35"/>
    </row>
    <row r="73" spans="1:1">
      <c r="A73" s="36" t="s">
        <v>167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D47B8A2F-97B7-4510-9303-B471F0C277BB}">
  <ds:schemaRefs/>
</ds:datastoreItem>
</file>

<file path=customXml/itemProps2.xml><?xml version="1.0" encoding="utf-8"?>
<ds:datastoreItem xmlns:ds="http://schemas.openxmlformats.org/officeDocument/2006/customXml" ds:itemID="{CAC5064E-ED91-4743-BEC7-42342CEF7027}">
  <ds:schemaRefs/>
</ds:datastoreItem>
</file>

<file path=customXml/itemProps3.xml><?xml version="1.0" encoding="utf-8"?>
<ds:datastoreItem xmlns:ds="http://schemas.openxmlformats.org/officeDocument/2006/customXml" ds:itemID="{55312315-F723-408F-B05D-46BC04890B33}">
  <ds:schemaRefs/>
</ds:datastoreItem>
</file>

<file path=customXml/itemProps4.xml><?xml version="1.0" encoding="utf-8"?>
<ds:datastoreItem xmlns:ds="http://schemas.openxmlformats.org/officeDocument/2006/customXml" ds:itemID="{6881CA74-53FC-4512-B734-3A0EC6582C64}">
  <ds:schemaRefs/>
</ds:datastoreItem>
</file>

<file path=customXml/itemProps5.xml><?xml version="1.0" encoding="utf-8"?>
<ds:datastoreItem xmlns:ds="http://schemas.openxmlformats.org/officeDocument/2006/customXml" ds:itemID="{591B2C59-1E63-4AB6-A3AB-F9035490D9E3}">
  <ds:schemaRefs/>
</ds:datastoreItem>
</file>

<file path=customXml/itemProps6.xml><?xml version="1.0" encoding="utf-8"?>
<ds:datastoreItem xmlns:ds="http://schemas.openxmlformats.org/officeDocument/2006/customXml" ds:itemID="{1A3DAC34-F6AB-4C79-8108-CE03FF72E000}">
  <ds:schemaRefs/>
</ds:datastoreItem>
</file>

<file path=customXml/itemProps7.xml><?xml version="1.0" encoding="utf-8"?>
<ds:datastoreItem xmlns:ds="http://schemas.openxmlformats.org/officeDocument/2006/customXml" ds:itemID="{0BC50D10-6566-45E2-AC16-A095E0F4C5B7}">
  <ds:schemaRefs/>
</ds:datastoreItem>
</file>

<file path=customXml/itemProps8.xml><?xml version="1.0" encoding="utf-8"?>
<ds:datastoreItem xmlns:ds="http://schemas.openxmlformats.org/officeDocument/2006/customXml" ds:itemID="{1DAACB86-3390-4942-8DC7-49F1D35AA97F}">
  <ds:schemaRefs/>
</ds:datastoreItem>
</file>

<file path=customXml/itemProps9.xml><?xml version="1.0" encoding="utf-8"?>
<ds:datastoreItem xmlns:ds="http://schemas.openxmlformats.org/officeDocument/2006/customXml" ds:itemID="{C54A1AE0-E58D-4705-A4D6-B6E32731FC8F}">
  <ds:schemaRefs/>
</ds:datastoreItem>
</file>

<file path=customXml/itemProps10.xml><?xml version="1.0" encoding="utf-8"?>
<ds:datastoreItem xmlns:ds="http://schemas.openxmlformats.org/officeDocument/2006/customXml" ds:itemID="{72450186-B7DD-4C2B-8947-828FD69D1984}">
  <ds:schemaRefs/>
</ds:datastoreItem>
</file>

<file path=customXml/itemProps11.xml><?xml version="1.0" encoding="utf-8"?>
<ds:datastoreItem xmlns:ds="http://schemas.openxmlformats.org/officeDocument/2006/customXml" ds:itemID="{19887BB9-B22F-4F64-86D2-EE51EAD10E4E}">
  <ds:schemaRefs/>
</ds:datastoreItem>
</file>

<file path=customXml/itemProps12.xml><?xml version="1.0" encoding="utf-8"?>
<ds:datastoreItem xmlns:ds="http://schemas.openxmlformats.org/officeDocument/2006/customXml" ds:itemID="{F90190B4-91E7-438A-80A4-FE976B2583C1}">
  <ds:schemaRefs/>
</ds:datastoreItem>
</file>

<file path=customXml/itemProps13.xml><?xml version="1.0" encoding="utf-8"?>
<ds:datastoreItem xmlns:ds="http://schemas.openxmlformats.org/officeDocument/2006/customXml" ds:itemID="{AC2052AD-F62F-4488-9E1D-6EC04310478F}">
  <ds:schemaRefs/>
</ds:datastoreItem>
</file>

<file path=customXml/itemProps14.xml><?xml version="1.0" encoding="utf-8"?>
<ds:datastoreItem xmlns:ds="http://schemas.openxmlformats.org/officeDocument/2006/customXml" ds:itemID="{A927ABDB-A682-43B0-A2F7-65E44952E78F}">
  <ds:schemaRefs/>
</ds:datastoreItem>
</file>

<file path=customXml/itemProps15.xml><?xml version="1.0" encoding="utf-8"?>
<ds:datastoreItem xmlns:ds="http://schemas.openxmlformats.org/officeDocument/2006/customXml" ds:itemID="{03B980BE-C21A-4BA4-8405-FC6A60622E68}">
  <ds:schemaRefs/>
</ds:datastoreItem>
</file>

<file path=customXml/itemProps16.xml><?xml version="1.0" encoding="utf-8"?>
<ds:datastoreItem xmlns:ds="http://schemas.openxmlformats.org/officeDocument/2006/customXml" ds:itemID="{30CD6634-E6F6-4B27-A739-BD22A9082568}">
  <ds:schemaRefs/>
</ds:datastoreItem>
</file>

<file path=customXml/itemProps17.xml><?xml version="1.0" encoding="utf-8"?>
<ds:datastoreItem xmlns:ds="http://schemas.openxmlformats.org/officeDocument/2006/customXml" ds:itemID="{5E93F4E8-68E2-43D9-8F75-62726EB22B4A}">
  <ds:schemaRefs/>
</ds:datastoreItem>
</file>

<file path=customXml/itemProps18.xml><?xml version="1.0" encoding="utf-8"?>
<ds:datastoreItem xmlns:ds="http://schemas.openxmlformats.org/officeDocument/2006/customXml" ds:itemID="{F4EC24B6-84DB-4EB7-858F-48F5A5AA3458}">
  <ds:schemaRefs/>
</ds:datastoreItem>
</file>

<file path=customXml/itemProps19.xml><?xml version="1.0" encoding="utf-8"?>
<ds:datastoreItem xmlns:ds="http://schemas.openxmlformats.org/officeDocument/2006/customXml" ds:itemID="{FFA66AC0-0EE9-46D3-B268-C07A41D718EF}">
  <ds:schemaRefs/>
</ds:datastoreItem>
</file>

<file path=customXml/itemProps20.xml><?xml version="1.0" encoding="utf-8"?>
<ds:datastoreItem xmlns:ds="http://schemas.openxmlformats.org/officeDocument/2006/customXml" ds:itemID="{2AB5D9D7-765A-45B5-B1D8-762D5140A3CA}">
  <ds:schemaRefs/>
</ds:datastoreItem>
</file>

<file path=customXml/itemProps21.xml><?xml version="1.0" encoding="utf-8"?>
<ds:datastoreItem xmlns:ds="http://schemas.openxmlformats.org/officeDocument/2006/customXml" ds:itemID="{42E36F6C-C73E-476A-9F09-F9D2B3AECBDE}">
  <ds:schemaRefs/>
</ds:datastoreItem>
</file>

<file path=customXml/itemProps22.xml><?xml version="1.0" encoding="utf-8"?>
<ds:datastoreItem xmlns:ds="http://schemas.openxmlformats.org/officeDocument/2006/customXml" ds:itemID="{53A14544-B4E9-43A6-8EFC-BBF91EA4975E}">
  <ds:schemaRefs/>
</ds:datastoreItem>
</file>

<file path=customXml/itemProps23.xml><?xml version="1.0" encoding="utf-8"?>
<ds:datastoreItem xmlns:ds="http://schemas.openxmlformats.org/officeDocument/2006/customXml" ds:itemID="{2E866B34-AC46-4920-8DE8-7AA283D8D902}">
  <ds:schemaRefs/>
</ds:datastoreItem>
</file>

<file path=customXml/itemProps24.xml><?xml version="1.0" encoding="utf-8"?>
<ds:datastoreItem xmlns:ds="http://schemas.openxmlformats.org/officeDocument/2006/customXml" ds:itemID="{CF5227A9-521B-4675-9CAE-E965AA8CA3E1}">
  <ds:schemaRefs/>
</ds:datastoreItem>
</file>

<file path=customXml/itemProps25.xml><?xml version="1.0" encoding="utf-8"?>
<ds:datastoreItem xmlns:ds="http://schemas.openxmlformats.org/officeDocument/2006/customXml" ds:itemID="{B2881186-95DF-43A5-B43F-E3A08FFEB4F3}">
  <ds:schemaRefs/>
</ds:datastoreItem>
</file>

<file path=customXml/itemProps26.xml><?xml version="1.0" encoding="utf-8"?>
<ds:datastoreItem xmlns:ds="http://schemas.openxmlformats.org/officeDocument/2006/customXml" ds:itemID="{7F036259-7750-4644-90E1-3EAE52C6ADC1}">
  <ds:schemaRefs/>
</ds:datastoreItem>
</file>

<file path=customXml/itemProps27.xml><?xml version="1.0" encoding="utf-8"?>
<ds:datastoreItem xmlns:ds="http://schemas.openxmlformats.org/officeDocument/2006/customXml" ds:itemID="{DD59112E-21A9-4621-9570-7A1F628BA245}">
  <ds:schemaRefs/>
</ds:datastoreItem>
</file>

<file path=customXml/itemProps28.xml><?xml version="1.0" encoding="utf-8"?>
<ds:datastoreItem xmlns:ds="http://schemas.openxmlformats.org/officeDocument/2006/customXml" ds:itemID="{134F46AB-5493-42C6-8143-C86F4A0D6F87}">
  <ds:schemaRefs/>
</ds:datastoreItem>
</file>

<file path=customXml/itemProps29.xml><?xml version="1.0" encoding="utf-8"?>
<ds:datastoreItem xmlns:ds="http://schemas.openxmlformats.org/officeDocument/2006/customXml" ds:itemID="{5D1DEC38-DB50-46C1-B686-F947FCB5719C}">
  <ds:schemaRefs/>
</ds:datastoreItem>
</file>

<file path=customXml/itemProps30.xml><?xml version="1.0" encoding="utf-8"?>
<ds:datastoreItem xmlns:ds="http://schemas.openxmlformats.org/officeDocument/2006/customXml" ds:itemID="{DB26039F-F109-46D9-BCD4-CBB5EE3A827A}">
  <ds:schemaRefs/>
</ds:datastoreItem>
</file>

<file path=customXml/itemProps31.xml><?xml version="1.0" encoding="utf-8"?>
<ds:datastoreItem xmlns:ds="http://schemas.openxmlformats.org/officeDocument/2006/customXml" ds:itemID="{4EFB9A1A-46C1-4DBE-BC3E-8A26C085A41D}">
  <ds:schemaRefs/>
</ds:datastoreItem>
</file>

<file path=customXml/itemProps32.xml><?xml version="1.0" encoding="utf-8"?>
<ds:datastoreItem xmlns:ds="http://schemas.openxmlformats.org/officeDocument/2006/customXml" ds:itemID="{C9A89CFE-6A02-4886-886F-D3716E4F6ECA}">
  <ds:schemaRefs/>
</ds:datastoreItem>
</file>

<file path=customXml/itemProps33.xml><?xml version="1.0" encoding="utf-8"?>
<ds:datastoreItem xmlns:ds="http://schemas.openxmlformats.org/officeDocument/2006/customXml" ds:itemID="{4419EABD-2046-42AC-97AA-5C59131246EA}">
  <ds:schemaRefs/>
</ds:datastoreItem>
</file>

<file path=customXml/itemProps34.xml><?xml version="1.0" encoding="utf-8"?>
<ds:datastoreItem xmlns:ds="http://schemas.openxmlformats.org/officeDocument/2006/customXml" ds:itemID="{6A2B8241-3777-4022-AE11-C1C77983FBBE}">
  <ds:schemaRefs/>
</ds:datastoreItem>
</file>

<file path=customXml/itemProps35.xml><?xml version="1.0" encoding="utf-8"?>
<ds:datastoreItem xmlns:ds="http://schemas.openxmlformats.org/officeDocument/2006/customXml" ds:itemID="{5329755D-1A09-4CEB-A4FF-17CDBE8987AF}">
  <ds:schemaRefs/>
</ds:datastoreItem>
</file>

<file path=customXml/itemProps36.xml><?xml version="1.0" encoding="utf-8"?>
<ds:datastoreItem xmlns:ds="http://schemas.openxmlformats.org/officeDocument/2006/customXml" ds:itemID="{58082FFE-75A1-494B-AC5F-8867BC8BD1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Materiais_Estoque</vt:lpstr>
      <vt:lpstr>Consumo_Mensal</vt:lpstr>
      <vt:lpstr>Suprimentos_LeadTime</vt:lpstr>
      <vt:lpstr>Validação de Dados</vt:lpstr>
      <vt:lpstr>Feriados</vt:lpstr>
      <vt:lpstr>Análise</vt:lpstr>
      <vt:lpstr>Regras de negócio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Gabriel da Silva</dc:creator>
  <cp:keywords/>
  <dc:description/>
  <cp:lastModifiedBy>João Gabriel</cp:lastModifiedBy>
  <cp:revision/>
  <dcterms:created xsi:type="dcterms:W3CDTF">2026-03-17T19:53:52Z</dcterms:created>
  <dcterms:modified xsi:type="dcterms:W3CDTF">2026-05-07T23:35:14Z</dcterms:modified>
  <cp:category/>
  <cp:contentStatus/>
</cp:coreProperties>
</file>